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omments2.xml" ContentType="application/vnd.openxmlformats-officedocument.spreadsheetml.comments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defaultThemeVersion="124226"/>
  <xr:revisionPtr revIDLastSave="0" documentId="13_ncr:1_{2092999B-E95B-46C1-BB2D-DED8C3045AC7}" xr6:coauthVersionLast="47" xr6:coauthVersionMax="47" xr10:uidLastSave="{00000000-0000-0000-0000-000000000000}"/>
  <bookViews>
    <workbookView xWindow="-120" yWindow="-120" windowWidth="29040" windowHeight="15840" tabRatio="838" activeTab="1" xr2:uid="{00000000-000D-0000-FFFF-FFFF00000000}"/>
  </bookViews>
  <sheets>
    <sheet name="Topes_2026" sheetId="55" r:id="rId1"/>
    <sheet name="Puntos aprobados_2026" sheetId="19" r:id="rId2"/>
    <sheet name="Titulo" sheetId="64" r:id="rId3"/>
    <sheet name="Ascenso_Categoria" sheetId="52" r:id="rId4"/>
    <sheet name="Pub_Rev_Index" sheetId="53" r:id="rId5"/>
    <sheet name="Libro_Ensayo" sheetId="54" r:id="rId6"/>
    <sheet name="Prod_Videos" sheetId="56" state="hidden" r:id="rId7"/>
    <sheet name="Libro_Res_Investigacion" sheetId="57" state="hidden" r:id="rId8"/>
    <sheet name="Libro_Texto" sheetId="58" state="hidden" r:id="rId9"/>
    <sheet name="Premios" sheetId="59" state="hidden" r:id="rId10"/>
    <sheet name="Patentes" sheetId="60" state="hidden" r:id="rId11"/>
    <sheet name="Obras_Artisticas" sheetId="61" state="hidden" r:id="rId12"/>
    <sheet name="Prod_Tecnica" sheetId="62" state="hidden" r:id="rId13"/>
    <sheet name="Prod_Software" sheetId="63" state="hidden" r:id="rId14"/>
    <sheet name="DAA" sheetId="65" r:id="rId15"/>
    <sheet name="DDD_Auxiliar" sheetId="66" r:id="rId16"/>
    <sheet name="DDD_Asistente" sheetId="68" r:id="rId17"/>
    <sheet name="DDD_Asociado" sheetId="67" r:id="rId18"/>
    <sheet name="DDD_Titular" sheetId="69" r:id="rId19"/>
    <sheet name="Exp_Calificada" sheetId="70" r:id="rId20"/>
  </sheets>
  <definedNames>
    <definedName name="_xlnm._FilterDatabase" localSheetId="19" hidden="1">Exp_Calificada!$A$3:$L$265</definedName>
    <definedName name="_xlnm._FilterDatabase" localSheetId="4" hidden="1">Pub_Rev_Index!$A$2:$AA$34</definedName>
    <definedName name="_xlnm.Print_Titles" localSheetId="3">Ascenso_Categoria!$2:$2</definedName>
    <definedName name="_xlnm.Print_Titles" localSheetId="14">DAA!$2:$3</definedName>
    <definedName name="_xlnm.Print_Titles" localSheetId="19">Exp_Calificada!$2:$3</definedName>
    <definedName name="_xlnm.Print_Titles" localSheetId="4">Pub_Rev_Index!$2:$3</definedName>
    <definedName name="_xlnm.Print_Titles" localSheetId="0">Topes_2026!$4:$4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8" i="52" l="1" a="1"/>
  <c r="K8" i="52" s="1"/>
  <c r="K5" i="52" a="1"/>
  <c r="K5" i="52" s="1"/>
  <c r="K6" i="52" a="1"/>
  <c r="K6" i="52" s="1"/>
  <c r="K7" i="52" a="1"/>
  <c r="K7" i="52" s="1"/>
  <c r="D17" i="19"/>
  <c r="D16" i="19"/>
  <c r="D15" i="19"/>
  <c r="K4" i="52" l="1" a="1"/>
  <c r="K4" i="52" s="1"/>
  <c r="X8" i="53"/>
  <c r="X19" i="53"/>
  <c r="X20" i="53"/>
  <c r="X21" i="53"/>
  <c r="AC256" i="55" s="1"/>
  <c r="X22" i="53"/>
  <c r="AC70" i="55" s="1"/>
  <c r="X23" i="53"/>
  <c r="X25" i="53"/>
  <c r="X26" i="53"/>
  <c r="X34" i="53"/>
  <c r="D2" i="19"/>
  <c r="X13" i="53"/>
  <c r="AC15" i="55" s="1"/>
  <c r="X14" i="53"/>
  <c r="X15" i="53"/>
  <c r="AC249" i="55" s="1"/>
  <c r="X16" i="53"/>
  <c r="X17" i="53"/>
  <c r="X18" i="53"/>
  <c r="AC164" i="55" s="1"/>
  <c r="X11" i="53"/>
  <c r="X12" i="53"/>
  <c r="X5" i="53" l="1"/>
  <c r="X6" i="53"/>
  <c r="X7" i="53"/>
  <c r="AC180" i="55" s="1"/>
  <c r="X9" i="53"/>
  <c r="AC63" i="55" s="1"/>
  <c r="X10" i="53"/>
  <c r="AC6" i="55" s="1"/>
  <c r="H2" i="19"/>
  <c r="H5" i="19"/>
  <c r="H6" i="19"/>
  <c r="H7" i="19"/>
  <c r="H9" i="19"/>
  <c r="H10" i="19"/>
  <c r="H11" i="19"/>
  <c r="H12" i="19"/>
  <c r="H13" i="19"/>
  <c r="H14" i="19"/>
  <c r="H15" i="19"/>
  <c r="H16" i="19"/>
  <c r="H17" i="19"/>
  <c r="Q5" i="57"/>
  <c r="P5" i="57"/>
  <c r="Q4" i="57"/>
  <c r="P4" i="57"/>
  <c r="S4" i="57"/>
  <c r="S5" i="57"/>
  <c r="P7" i="63"/>
  <c r="P7" i="62" l="1"/>
  <c r="S3" i="54"/>
  <c r="AC50" i="55" s="1"/>
  <c r="Q6" i="58"/>
  <c r="R6" i="58"/>
  <c r="T6" i="58"/>
  <c r="Q9" i="58"/>
  <c r="R9" i="58"/>
  <c r="T9" i="58"/>
  <c r="T3" i="58"/>
  <c r="R3" i="58"/>
  <c r="Q3" i="58"/>
  <c r="Q3" i="57" l="1"/>
  <c r="P3" i="57"/>
  <c r="S3" i="57" s="1"/>
  <c r="S8" i="57" s="1"/>
  <c r="K3" i="52" a="1"/>
  <c r="K3" i="52" s="1"/>
  <c r="D8" i="19"/>
  <c r="O5" i="64"/>
  <c r="D3" i="19" l="1"/>
  <c r="H3" i="19" s="1"/>
  <c r="H8" i="19"/>
  <c r="S5" i="61"/>
  <c r="P6" i="60" l="1"/>
  <c r="O6" i="59" l="1"/>
  <c r="T13" i="58"/>
  <c r="S7" i="56" l="1"/>
  <c r="C18" i="19" l="1"/>
  <c r="X4" i="53"/>
  <c r="D4" i="19" s="1"/>
  <c r="Q3" i="54"/>
  <c r="P3" i="54"/>
  <c r="AB266" i="55"/>
  <c r="AK266" i="55" s="1"/>
  <c r="AB265" i="55"/>
  <c r="AK265" i="55" s="1"/>
  <c r="AB264" i="55"/>
  <c r="AK264" i="55" s="1"/>
  <c r="AB263" i="55"/>
  <c r="AK263" i="55" s="1"/>
  <c r="AB262" i="55"/>
  <c r="AK262" i="55" s="1"/>
  <c r="AB261" i="55"/>
  <c r="AK261" i="55" s="1"/>
  <c r="AB260" i="55"/>
  <c r="AK260" i="55" s="1"/>
  <c r="AB259" i="55"/>
  <c r="AK259" i="55" s="1"/>
  <c r="AB258" i="55"/>
  <c r="AK258" i="55" s="1"/>
  <c r="AB257" i="55"/>
  <c r="AK257" i="55" s="1"/>
  <c r="AB256" i="55"/>
  <c r="AK256" i="55" s="1"/>
  <c r="AB255" i="55"/>
  <c r="AK255" i="55" s="1"/>
  <c r="AB254" i="55"/>
  <c r="AK254" i="55" s="1"/>
  <c r="AB253" i="55"/>
  <c r="AK253" i="55" s="1"/>
  <c r="AB252" i="55"/>
  <c r="AK252" i="55" s="1"/>
  <c r="AB251" i="55"/>
  <c r="AK251" i="55" s="1"/>
  <c r="AB250" i="55"/>
  <c r="AK250" i="55" s="1"/>
  <c r="AB249" i="55"/>
  <c r="AK249" i="55" s="1"/>
  <c r="AB248" i="55"/>
  <c r="AK248" i="55" s="1"/>
  <c r="AB247" i="55"/>
  <c r="AK247" i="55" s="1"/>
  <c r="AB246" i="55"/>
  <c r="AK246" i="55" s="1"/>
  <c r="AB245" i="55"/>
  <c r="AK245" i="55" s="1"/>
  <c r="AB244" i="55"/>
  <c r="AK244" i="55" s="1"/>
  <c r="AB243" i="55"/>
  <c r="AK243" i="55" s="1"/>
  <c r="AB242" i="55"/>
  <c r="AK242" i="55" s="1"/>
  <c r="AB241" i="55"/>
  <c r="AK241" i="55" s="1"/>
  <c r="AB240" i="55"/>
  <c r="AK240" i="55" s="1"/>
  <c r="AB239" i="55"/>
  <c r="AK239" i="55" s="1"/>
  <c r="AB238" i="55"/>
  <c r="AK238" i="55" s="1"/>
  <c r="AB237" i="55"/>
  <c r="AK237" i="55" s="1"/>
  <c r="AB236" i="55"/>
  <c r="AK236" i="55" s="1"/>
  <c r="AB235" i="55"/>
  <c r="AK235" i="55" s="1"/>
  <c r="AB234" i="55"/>
  <c r="AK234" i="55" s="1"/>
  <c r="AB233" i="55"/>
  <c r="AK233" i="55" s="1"/>
  <c r="AB232" i="55"/>
  <c r="AK232" i="55" s="1"/>
  <c r="AB231" i="55"/>
  <c r="AK231" i="55" s="1"/>
  <c r="AB230" i="55"/>
  <c r="AK230" i="55" s="1"/>
  <c r="AB229" i="55"/>
  <c r="AK229" i="55" s="1"/>
  <c r="AB228" i="55"/>
  <c r="AK228" i="55" s="1"/>
  <c r="AB227" i="55"/>
  <c r="AK227" i="55" s="1"/>
  <c r="AB226" i="55"/>
  <c r="AK226" i="55" s="1"/>
  <c r="AB225" i="55"/>
  <c r="AK225" i="55" s="1"/>
  <c r="AB224" i="55"/>
  <c r="AK224" i="55" s="1"/>
  <c r="AB223" i="55"/>
  <c r="AK223" i="55" s="1"/>
  <c r="AB222" i="55"/>
  <c r="AK222" i="55" s="1"/>
  <c r="AB221" i="55"/>
  <c r="AK221" i="55" s="1"/>
  <c r="AB220" i="55"/>
  <c r="AK220" i="55" s="1"/>
  <c r="AB219" i="55"/>
  <c r="AK219" i="55" s="1"/>
  <c r="AB218" i="55"/>
  <c r="AK218" i="55" s="1"/>
  <c r="AB217" i="55"/>
  <c r="AK217" i="55" s="1"/>
  <c r="AB216" i="55"/>
  <c r="AK216" i="55" s="1"/>
  <c r="AB215" i="55"/>
  <c r="AK215" i="55" s="1"/>
  <c r="AB214" i="55"/>
  <c r="AK214" i="55" s="1"/>
  <c r="AB213" i="55"/>
  <c r="AK213" i="55" s="1"/>
  <c r="AB212" i="55"/>
  <c r="AK212" i="55" s="1"/>
  <c r="AB211" i="55"/>
  <c r="AK211" i="55" s="1"/>
  <c r="AB210" i="55"/>
  <c r="AK210" i="55" s="1"/>
  <c r="AB209" i="55"/>
  <c r="AK209" i="55" s="1"/>
  <c r="AB208" i="55"/>
  <c r="AK208" i="55" s="1"/>
  <c r="AB207" i="55"/>
  <c r="AK207" i="55" s="1"/>
  <c r="AB206" i="55"/>
  <c r="AK206" i="55" s="1"/>
  <c r="AB205" i="55"/>
  <c r="AK205" i="55" s="1"/>
  <c r="AB204" i="55"/>
  <c r="AK204" i="55" s="1"/>
  <c r="AB203" i="55"/>
  <c r="AK203" i="55" s="1"/>
  <c r="AB202" i="55"/>
  <c r="AK202" i="55" s="1"/>
  <c r="AB201" i="55"/>
  <c r="AK201" i="55" s="1"/>
  <c r="AB200" i="55"/>
  <c r="AK200" i="55" s="1"/>
  <c r="AB199" i="55"/>
  <c r="AK199" i="55" s="1"/>
  <c r="AB198" i="55"/>
  <c r="AK198" i="55" s="1"/>
  <c r="AB197" i="55"/>
  <c r="AK197" i="55" s="1"/>
  <c r="AB196" i="55"/>
  <c r="AK196" i="55" s="1"/>
  <c r="AB195" i="55"/>
  <c r="AK195" i="55" s="1"/>
  <c r="AB194" i="55"/>
  <c r="AK194" i="55" s="1"/>
  <c r="AB193" i="55"/>
  <c r="AK193" i="55" s="1"/>
  <c r="AB192" i="55"/>
  <c r="AK192" i="55" s="1"/>
  <c r="AB191" i="55"/>
  <c r="AK191" i="55" s="1"/>
  <c r="AB190" i="55"/>
  <c r="AK190" i="55" s="1"/>
  <c r="AB189" i="55"/>
  <c r="AK189" i="55" s="1"/>
  <c r="AB188" i="55"/>
  <c r="AK188" i="55" s="1"/>
  <c r="AB187" i="55"/>
  <c r="AK187" i="55" s="1"/>
  <c r="AB186" i="55"/>
  <c r="AK186" i="55" s="1"/>
  <c r="AB185" i="55"/>
  <c r="AK185" i="55" s="1"/>
  <c r="AB184" i="55"/>
  <c r="AK184" i="55" s="1"/>
  <c r="AB183" i="55"/>
  <c r="AK183" i="55" s="1"/>
  <c r="AB182" i="55"/>
  <c r="AK182" i="55" s="1"/>
  <c r="AB181" i="55"/>
  <c r="AK181" i="55" s="1"/>
  <c r="AB180" i="55"/>
  <c r="AK180" i="55" s="1"/>
  <c r="AB179" i="55"/>
  <c r="AK179" i="55" s="1"/>
  <c r="AB178" i="55"/>
  <c r="AK178" i="55" s="1"/>
  <c r="AB177" i="55"/>
  <c r="AK177" i="55" s="1"/>
  <c r="AB176" i="55"/>
  <c r="AK176" i="55" s="1"/>
  <c r="AB175" i="55"/>
  <c r="AK175" i="55" s="1"/>
  <c r="AB174" i="55"/>
  <c r="AK174" i="55" s="1"/>
  <c r="AB173" i="55"/>
  <c r="AK173" i="55" s="1"/>
  <c r="AB172" i="55"/>
  <c r="AK172" i="55" s="1"/>
  <c r="AB171" i="55"/>
  <c r="AK171" i="55" s="1"/>
  <c r="AB170" i="55"/>
  <c r="AK170" i="55" s="1"/>
  <c r="AB169" i="55"/>
  <c r="AK169" i="55" s="1"/>
  <c r="AB168" i="55"/>
  <c r="AK168" i="55" s="1"/>
  <c r="AB167" i="55"/>
  <c r="AK167" i="55" s="1"/>
  <c r="AB166" i="55"/>
  <c r="AK166" i="55" s="1"/>
  <c r="AB165" i="55"/>
  <c r="AK165" i="55" s="1"/>
  <c r="AB164" i="55"/>
  <c r="AK164" i="55" s="1"/>
  <c r="AB163" i="55"/>
  <c r="AK163" i="55" s="1"/>
  <c r="AB162" i="55"/>
  <c r="AK162" i="55" s="1"/>
  <c r="AB161" i="55"/>
  <c r="AK161" i="55" s="1"/>
  <c r="AB160" i="55"/>
  <c r="AK160" i="55" s="1"/>
  <c r="AB159" i="55"/>
  <c r="AK159" i="55" s="1"/>
  <c r="AB158" i="55"/>
  <c r="AK158" i="55" s="1"/>
  <c r="AB157" i="55"/>
  <c r="AK157" i="55" s="1"/>
  <c r="AB156" i="55"/>
  <c r="AK156" i="55" s="1"/>
  <c r="AB155" i="55"/>
  <c r="AK155" i="55" s="1"/>
  <c r="AB154" i="55"/>
  <c r="AK154" i="55" s="1"/>
  <c r="AB153" i="55"/>
  <c r="AK153" i="55" s="1"/>
  <c r="AB152" i="55"/>
  <c r="AK152" i="55" s="1"/>
  <c r="AB151" i="55"/>
  <c r="AK151" i="55" s="1"/>
  <c r="AB150" i="55"/>
  <c r="AK150" i="55" s="1"/>
  <c r="AB149" i="55"/>
  <c r="AK149" i="55" s="1"/>
  <c r="AB148" i="55"/>
  <c r="AK148" i="55" s="1"/>
  <c r="AB147" i="55"/>
  <c r="AK147" i="55" s="1"/>
  <c r="AB146" i="55"/>
  <c r="AB145" i="55"/>
  <c r="AK145" i="55" s="1"/>
  <c r="AB144" i="55"/>
  <c r="AK144" i="55" s="1"/>
  <c r="AB143" i="55"/>
  <c r="AK143" i="55" s="1"/>
  <c r="AB142" i="55"/>
  <c r="AK142" i="55" s="1"/>
  <c r="AB141" i="55"/>
  <c r="AK141" i="55" s="1"/>
  <c r="AB140" i="55"/>
  <c r="AK140" i="55" s="1"/>
  <c r="AB139" i="55"/>
  <c r="AK139" i="55" s="1"/>
  <c r="AB138" i="55"/>
  <c r="AK138" i="55" s="1"/>
  <c r="AB137" i="55"/>
  <c r="AK137" i="55" s="1"/>
  <c r="AB136" i="55"/>
  <c r="AK136" i="55" s="1"/>
  <c r="AB135" i="55"/>
  <c r="AK135" i="55" s="1"/>
  <c r="AB134" i="55"/>
  <c r="AK134" i="55" s="1"/>
  <c r="AB133" i="55"/>
  <c r="AK133" i="55" s="1"/>
  <c r="AB132" i="55"/>
  <c r="AK132" i="55" s="1"/>
  <c r="AB131" i="55"/>
  <c r="AK131" i="55" s="1"/>
  <c r="AB130" i="55"/>
  <c r="AK130" i="55" s="1"/>
  <c r="AB129" i="55"/>
  <c r="AK129" i="55" s="1"/>
  <c r="AB128" i="55"/>
  <c r="AK128" i="55" s="1"/>
  <c r="AB127" i="55"/>
  <c r="AK127" i="55" s="1"/>
  <c r="AB126" i="55"/>
  <c r="AK126" i="55" s="1"/>
  <c r="AB125" i="55"/>
  <c r="AK125" i="55" s="1"/>
  <c r="AB124" i="55"/>
  <c r="AK124" i="55" s="1"/>
  <c r="AB123" i="55"/>
  <c r="AK123" i="55" s="1"/>
  <c r="AB122" i="55"/>
  <c r="AK122" i="55" s="1"/>
  <c r="AB121" i="55"/>
  <c r="AK121" i="55" s="1"/>
  <c r="AB120" i="55"/>
  <c r="AK120" i="55" s="1"/>
  <c r="AB119" i="55"/>
  <c r="AK119" i="55" s="1"/>
  <c r="AB118" i="55"/>
  <c r="AK118" i="55" s="1"/>
  <c r="AB117" i="55"/>
  <c r="AK117" i="55" s="1"/>
  <c r="AB116" i="55"/>
  <c r="AK116" i="55" s="1"/>
  <c r="AB115" i="55"/>
  <c r="AK115" i="55" s="1"/>
  <c r="AB114" i="55"/>
  <c r="AK114" i="55" s="1"/>
  <c r="AB113" i="55"/>
  <c r="AK113" i="55" s="1"/>
  <c r="AB112" i="55"/>
  <c r="AK112" i="55" s="1"/>
  <c r="AB111" i="55"/>
  <c r="AK111" i="55" s="1"/>
  <c r="AB110" i="55"/>
  <c r="AK110" i="55" s="1"/>
  <c r="AB109" i="55"/>
  <c r="AK109" i="55" s="1"/>
  <c r="AB108" i="55"/>
  <c r="AK108" i="55" s="1"/>
  <c r="AB107" i="55"/>
  <c r="AK107" i="55" s="1"/>
  <c r="AB106" i="55"/>
  <c r="AK106" i="55" s="1"/>
  <c r="AB105" i="55"/>
  <c r="AK105" i="55" s="1"/>
  <c r="AB104" i="55"/>
  <c r="AK104" i="55" s="1"/>
  <c r="AB103" i="55"/>
  <c r="AK103" i="55" s="1"/>
  <c r="AB102" i="55"/>
  <c r="AK102" i="55" s="1"/>
  <c r="AB101" i="55"/>
  <c r="AK101" i="55" s="1"/>
  <c r="AB100" i="55"/>
  <c r="AK100" i="55" s="1"/>
  <c r="AB99" i="55"/>
  <c r="AK99" i="55" s="1"/>
  <c r="AB98" i="55"/>
  <c r="AK98" i="55" s="1"/>
  <c r="AB97" i="55"/>
  <c r="AK97" i="55" s="1"/>
  <c r="AB96" i="55"/>
  <c r="AK96" i="55" s="1"/>
  <c r="AB95" i="55"/>
  <c r="AK95" i="55" s="1"/>
  <c r="AB94" i="55"/>
  <c r="AK94" i="55" s="1"/>
  <c r="AB93" i="55"/>
  <c r="AK93" i="55" s="1"/>
  <c r="AB92" i="55"/>
  <c r="AK92" i="55" s="1"/>
  <c r="AB91" i="55"/>
  <c r="AK91" i="55" s="1"/>
  <c r="AB90" i="55"/>
  <c r="AK90" i="55" s="1"/>
  <c r="AB89" i="55"/>
  <c r="AK89" i="55" s="1"/>
  <c r="AB88" i="55"/>
  <c r="AK88" i="55" s="1"/>
  <c r="AB87" i="55"/>
  <c r="AK87" i="55" s="1"/>
  <c r="AB86" i="55"/>
  <c r="AK86" i="55" s="1"/>
  <c r="AB85" i="55"/>
  <c r="AK85" i="55" s="1"/>
  <c r="AB84" i="55"/>
  <c r="AK84" i="55" s="1"/>
  <c r="AB83" i="55"/>
  <c r="AK83" i="55" s="1"/>
  <c r="AB82" i="55"/>
  <c r="AK82" i="55" s="1"/>
  <c r="AB81" i="55"/>
  <c r="AK81" i="55" s="1"/>
  <c r="AB80" i="55"/>
  <c r="AK80" i="55" s="1"/>
  <c r="AB79" i="55"/>
  <c r="AK79" i="55" s="1"/>
  <c r="AB78" i="55"/>
  <c r="AK78" i="55" s="1"/>
  <c r="AB77" i="55"/>
  <c r="AK77" i="55" s="1"/>
  <c r="AB76" i="55"/>
  <c r="AK76" i="55" s="1"/>
  <c r="AB75" i="55"/>
  <c r="AK75" i="55" s="1"/>
  <c r="AB74" i="55"/>
  <c r="AK74" i="55" s="1"/>
  <c r="AB73" i="55"/>
  <c r="AK73" i="55" s="1"/>
  <c r="AB72" i="55"/>
  <c r="AK72" i="55" s="1"/>
  <c r="AB71" i="55"/>
  <c r="AK71" i="55" s="1"/>
  <c r="AB70" i="55"/>
  <c r="AK70" i="55" s="1"/>
  <c r="AB69" i="55"/>
  <c r="AK69" i="55" s="1"/>
  <c r="AB68" i="55"/>
  <c r="AK68" i="55" s="1"/>
  <c r="AB67" i="55"/>
  <c r="AK67" i="55" s="1"/>
  <c r="AB66" i="55"/>
  <c r="AK66" i="55" s="1"/>
  <c r="AB65" i="55"/>
  <c r="AK65" i="55" s="1"/>
  <c r="AB64" i="55"/>
  <c r="AK64" i="55" s="1"/>
  <c r="AB63" i="55"/>
  <c r="AK63" i="55" s="1"/>
  <c r="AB62" i="55"/>
  <c r="AK62" i="55" s="1"/>
  <c r="AB61" i="55"/>
  <c r="AK61" i="55" s="1"/>
  <c r="AB60" i="55"/>
  <c r="AK60" i="55" s="1"/>
  <c r="AB59" i="55"/>
  <c r="AK59" i="55" s="1"/>
  <c r="AB58" i="55"/>
  <c r="AK58" i="55" s="1"/>
  <c r="AB57" i="55"/>
  <c r="AK57" i="55" s="1"/>
  <c r="AB56" i="55"/>
  <c r="AK56" i="55" s="1"/>
  <c r="AB55" i="55"/>
  <c r="AK55" i="55" s="1"/>
  <c r="AB54" i="55"/>
  <c r="AK54" i="55" s="1"/>
  <c r="AB53" i="55"/>
  <c r="AK53" i="55" s="1"/>
  <c r="AB52" i="55"/>
  <c r="AK52" i="55" s="1"/>
  <c r="AB51" i="55"/>
  <c r="AK51" i="55" s="1"/>
  <c r="AB50" i="55"/>
  <c r="AB49" i="55"/>
  <c r="AK49" i="55" s="1"/>
  <c r="AB48" i="55"/>
  <c r="AK48" i="55" s="1"/>
  <c r="AB47" i="55"/>
  <c r="AK47" i="55" s="1"/>
  <c r="AB46" i="55"/>
  <c r="AK46" i="55" s="1"/>
  <c r="AB45" i="55"/>
  <c r="AK45" i="55" s="1"/>
  <c r="AB44" i="55"/>
  <c r="AK44" i="55" s="1"/>
  <c r="AB43" i="55"/>
  <c r="AK43" i="55" s="1"/>
  <c r="AB42" i="55"/>
  <c r="AK42" i="55" s="1"/>
  <c r="AB41" i="55"/>
  <c r="AK41" i="55" s="1"/>
  <c r="AB40" i="55"/>
  <c r="AK40" i="55" s="1"/>
  <c r="AB39" i="55"/>
  <c r="AK39" i="55" s="1"/>
  <c r="AB38" i="55"/>
  <c r="AK38" i="55" s="1"/>
  <c r="AB37" i="55"/>
  <c r="AK37" i="55" s="1"/>
  <c r="AB36" i="55"/>
  <c r="AK36" i="55" s="1"/>
  <c r="AB35" i="55"/>
  <c r="AK35" i="55" s="1"/>
  <c r="AB34" i="55"/>
  <c r="AK34" i="55" s="1"/>
  <c r="AB33" i="55"/>
  <c r="AK33" i="55" s="1"/>
  <c r="AB32" i="55"/>
  <c r="AK32" i="55" s="1"/>
  <c r="AB31" i="55"/>
  <c r="AK31" i="55" s="1"/>
  <c r="AB30" i="55"/>
  <c r="AK30" i="55" s="1"/>
  <c r="AB29" i="55"/>
  <c r="AK29" i="55" s="1"/>
  <c r="AB28" i="55"/>
  <c r="AK28" i="55" s="1"/>
  <c r="AB27" i="55"/>
  <c r="AK27" i="55" s="1"/>
  <c r="AB26" i="55"/>
  <c r="AK26" i="55" s="1"/>
  <c r="AB25" i="55"/>
  <c r="AK25" i="55" s="1"/>
  <c r="AB24" i="55"/>
  <c r="AK24" i="55" s="1"/>
  <c r="AB23" i="55"/>
  <c r="AK23" i="55" s="1"/>
  <c r="AB22" i="55"/>
  <c r="AK22" i="55" s="1"/>
  <c r="AB21" i="55"/>
  <c r="AK21" i="55" s="1"/>
  <c r="AB20" i="55"/>
  <c r="AK20" i="55" s="1"/>
  <c r="AB19" i="55"/>
  <c r="AK19" i="55" s="1"/>
  <c r="AB18" i="55"/>
  <c r="AK18" i="55" s="1"/>
  <c r="AB17" i="55"/>
  <c r="AK17" i="55" s="1"/>
  <c r="AB16" i="55"/>
  <c r="AK16" i="55" s="1"/>
  <c r="AB15" i="55"/>
  <c r="AK15" i="55" s="1"/>
  <c r="AB14" i="55"/>
  <c r="AK14" i="55" s="1"/>
  <c r="AB13" i="55"/>
  <c r="AK13" i="55" s="1"/>
  <c r="AB12" i="55"/>
  <c r="AK12" i="55" s="1"/>
  <c r="AB11" i="55"/>
  <c r="AK11" i="55" s="1"/>
  <c r="AB10" i="55"/>
  <c r="AK10" i="55" s="1"/>
  <c r="AB9" i="55"/>
  <c r="AK9" i="55" s="1"/>
  <c r="AB8" i="55"/>
  <c r="AK8" i="55" s="1"/>
  <c r="AB7" i="55"/>
  <c r="AK7" i="55" s="1"/>
  <c r="AB6" i="55"/>
  <c r="AK6" i="55" s="1"/>
  <c r="AB5" i="55"/>
  <c r="AK5" i="55" s="1"/>
  <c r="X36" i="53" l="1"/>
  <c r="AC146" i="55"/>
  <c r="AK50" i="55"/>
  <c r="H4" i="19" l="1"/>
  <c r="H18" i="19" s="1"/>
  <c r="D20" i="19"/>
  <c r="AK146" i="55"/>
  <c r="AC267" i="55"/>
  <c r="E18" i="19"/>
  <c r="D18" i="19"/>
  <c r="S7" i="54"/>
  <c r="K10" i="5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T103" authorId="0" shapeId="0" xr:uid="{0047BC84-C1B1-4DB2-A443-7430A633E055}">
      <text>
        <r>
          <rPr>
            <sz val="11"/>
            <color theme="1"/>
            <rFont val="Arial"/>
            <family val="2"/>
          </rPr>
          <t>======
ID#AAAAJT4vw2Y
Autor    (2020-04-16 15:20:29)
Estos puntos se pagarán a partir del término de la comisión académico administrativa
P.II - Art.17. Decreto 1279/2002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Q3" authorId="0" shapeId="0" xr:uid="{946197D9-4F89-4D43-916C-AE7B5C1781F5}">
      <text>
        <r>
          <rPr>
            <sz val="9"/>
            <color indexed="81"/>
            <rFont val="Tahoma"/>
            <family val="2"/>
          </rPr>
          <t xml:space="preserve">g) Premios nacionales e internacionales
Se pueden reconocer puntos por los premios internacionales o nacionales otorgados por instituciones de reconocido prestigio académico, científico, técnico o artístico a obras o trabajos realizados por docentes de la universidad respectiva, dentro de sus labores universitarias.
Para efectos del reconocimiento de los puntos de que trata el presente literal, los premios deben corresponder a una convocatoria nacional o internacional y tener un proceso de selección claramente instituido y por una entidad de reconocido prestigio en el nivel nacional o internacional.
Si el premio tiene diversas categorías o niveles, se gradúan los topes con base en las jerarquías del premio.
Los premios o distinciones que confiere la propia universidad sólo se reconocen cuando media una convocatoria pública nacional o internacional;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<sst xmlns="http://schemas.openxmlformats.org/spreadsheetml/2006/main" count="5078" uniqueCount="1052">
  <si>
    <t>PUNTOS ASIGNADOS</t>
  </si>
  <si>
    <t>SEMESTRE</t>
  </si>
  <si>
    <t>FACULTAD</t>
  </si>
  <si>
    <t>TIEMPO DE 
DEDICACIÓN</t>
  </si>
  <si>
    <t>ESCOLARIDAD</t>
  </si>
  <si>
    <t>No.</t>
  </si>
  <si>
    <t>AÑO</t>
  </si>
  <si>
    <t>NOMBRE DEL DOCENTE</t>
  </si>
  <si>
    <t>TC</t>
  </si>
  <si>
    <t>Universidad del Quindío</t>
  </si>
  <si>
    <t>Asociado</t>
  </si>
  <si>
    <t>Titular</t>
  </si>
  <si>
    <t>__________________________________</t>
  </si>
  <si>
    <t>_______________________________</t>
  </si>
  <si>
    <t>LINA MARCELA CRUZ CALDERÓN</t>
  </si>
  <si>
    <t>Proyectó y Elaboró</t>
  </si>
  <si>
    <t>Revisó</t>
  </si>
  <si>
    <t>Maestría</t>
  </si>
  <si>
    <t>LUZ AMPARO CELIS BURITICÁ</t>
  </si>
  <si>
    <t>Técnico Oficina de Asuntos Profesorales</t>
  </si>
  <si>
    <t>Jefe Oficina Asuntos Profesorales y Secretaria Ejecutiva CIARP</t>
  </si>
  <si>
    <t>Doctorado</t>
  </si>
  <si>
    <t>Asistente</t>
  </si>
  <si>
    <t xml:space="preserve"> </t>
  </si>
  <si>
    <t>Ciencias de la Educación</t>
  </si>
  <si>
    <t>II</t>
  </si>
  <si>
    <t>Ciencias Humanas y Bellas Artes</t>
  </si>
  <si>
    <t>Licenciatura en Educación Física, Recreación y Deportes</t>
  </si>
  <si>
    <t>Maestria</t>
  </si>
  <si>
    <t>Ingeniería</t>
  </si>
  <si>
    <t>OBSERVACIONES</t>
  </si>
  <si>
    <t>OBSERVACIÓN</t>
  </si>
  <si>
    <t>PROGRAMA</t>
  </si>
  <si>
    <t>TÍTULO ARTÍCULO</t>
  </si>
  <si>
    <t>MODALIDAD</t>
  </si>
  <si>
    <t>TIPO</t>
  </si>
  <si>
    <t>PAIS</t>
  </si>
  <si>
    <t>ISSN REVISTA</t>
  </si>
  <si>
    <t>NOMBRE REVISTA</t>
  </si>
  <si>
    <t>PUBLINDEX</t>
  </si>
  <si>
    <t>CATEGORÍA
REVISTA</t>
  </si>
  <si>
    <t>EDITORIAL</t>
  </si>
  <si>
    <t>FECHA</t>
  </si>
  <si>
    <t>DOCUMENTO DE IDENTIFICAC.</t>
  </si>
  <si>
    <t>NOMBRES DE AUTORES PERTENECIENTES A UNIVERSIDADES</t>
  </si>
  <si>
    <t>CATEGORÍA DEL
DOCENTE</t>
  </si>
  <si>
    <t>PUNTAJE AUTOR</t>
  </si>
  <si>
    <t>UNIVERSIDAD DE LOS AUTORES (PARTICIPANTES)</t>
  </si>
  <si>
    <t>RECIBIDO</t>
  </si>
  <si>
    <t>APROBADO</t>
  </si>
  <si>
    <t>PUBLICADO</t>
  </si>
  <si>
    <t>Full paper</t>
  </si>
  <si>
    <t>Internacional</t>
  </si>
  <si>
    <t>Medicina</t>
  </si>
  <si>
    <t>Ciencias de la Salud</t>
  </si>
  <si>
    <t>Diana María García Cardona</t>
  </si>
  <si>
    <t>LEONARDO IVÁN QUINTANA URREA</t>
  </si>
  <si>
    <t>Trabajo Social</t>
  </si>
  <si>
    <t>Química</t>
  </si>
  <si>
    <t>Ciencias Básicas y Tecnologías</t>
  </si>
  <si>
    <t>Seguridad y Salud en el Trabajo</t>
  </si>
  <si>
    <t>Enfermería</t>
  </si>
  <si>
    <t>Auxiliar</t>
  </si>
  <si>
    <t>Ingeniería Civil</t>
  </si>
  <si>
    <t>TOTAL PUNTOS PUB. REV. INDEXADA</t>
  </si>
  <si>
    <t>Técnico Oficina Asuntos Profesorales</t>
  </si>
  <si>
    <t>Ciencias Económicas, Administrativas y Contables</t>
  </si>
  <si>
    <t>Contaduría Pública</t>
  </si>
  <si>
    <t>IDENTIFICACIÓN</t>
  </si>
  <si>
    <t>TIEMPO DE DEDICACIÓN</t>
  </si>
  <si>
    <t>RES. DE APROBACIÓN C.E.I.
o Acta de Aprob.CEI</t>
  </si>
  <si>
    <t>FECHA DE ASCENSO
( a partir de)</t>
  </si>
  <si>
    <t>CATEGORÍA APROBADA</t>
  </si>
  <si>
    <t>Biología</t>
  </si>
  <si>
    <t>Ingeniería Electrónica</t>
  </si>
  <si>
    <t>Ingeniería de Sistemas y Computación</t>
  </si>
  <si>
    <t>Ciencia de la Información y la Documentación, Bibliotecología y Archivística</t>
  </si>
  <si>
    <t>LIGIA JANNETH MOLINA RICO</t>
  </si>
  <si>
    <t>Licenciatura en Biología y Educación Ambiental</t>
  </si>
  <si>
    <t>TOTAL PUNTOS CAMBIO DE CATEGORÍA</t>
  </si>
  <si>
    <t>Tecnología en Instrumentación Electrónica</t>
  </si>
  <si>
    <t>Ingeniería Topográfica y Geomática</t>
  </si>
  <si>
    <t xml:space="preserve">I </t>
  </si>
  <si>
    <t>NOMBRE DEL LIBRO ENSAYO</t>
  </si>
  <si>
    <t>ISBN</t>
  </si>
  <si>
    <t>DOCUMENTO DE 
IDENTIFICACIÓN</t>
  </si>
  <si>
    <t>AUTORES</t>
  </si>
  <si>
    <t>CATEGORÍA</t>
  </si>
  <si>
    <t>PROGRAMA ACADÉMICO</t>
  </si>
  <si>
    <t>UNIVERSIDAD.
PARTICIPANT</t>
  </si>
  <si>
    <t>PUNTOS EVALUACIÓN PARES MINCIENCIAS</t>
  </si>
  <si>
    <t>ACTA Y 
FECHA</t>
  </si>
  <si>
    <t xml:space="preserve">OBSERVACIONES </t>
  </si>
  <si>
    <t>I</t>
  </si>
  <si>
    <t>2- 23/04/2025</t>
  </si>
  <si>
    <t>TOTAL PUNTOS LIBROS ENSAYO</t>
  </si>
  <si>
    <t>_________________________________</t>
  </si>
  <si>
    <t>Columna1</t>
  </si>
  <si>
    <t>Columna2</t>
  </si>
  <si>
    <t>Columna3</t>
  </si>
  <si>
    <t>Columna4</t>
  </si>
  <si>
    <t>Columna5</t>
  </si>
  <si>
    <t>Columna6</t>
  </si>
  <si>
    <t>Columna7</t>
  </si>
  <si>
    <t>Columna8</t>
  </si>
  <si>
    <t>Columna9</t>
  </si>
  <si>
    <t>Columna10</t>
  </si>
  <si>
    <t>Columna11</t>
  </si>
  <si>
    <t>Columna12</t>
  </si>
  <si>
    <t>Columna13</t>
  </si>
  <si>
    <t>Columna14</t>
  </si>
  <si>
    <t>Columna15</t>
  </si>
  <si>
    <t>Columna16</t>
  </si>
  <si>
    <t>Columna17</t>
  </si>
  <si>
    <t>Columna18</t>
  </si>
  <si>
    <t>Columna19</t>
  </si>
  <si>
    <t>Columna20</t>
  </si>
  <si>
    <t>Columna21</t>
  </si>
  <si>
    <t>Columna22</t>
  </si>
  <si>
    <t>Columna23</t>
  </si>
  <si>
    <t>Columna24</t>
  </si>
  <si>
    <t>Columna25</t>
  </si>
  <si>
    <t>Columna26</t>
  </si>
  <si>
    <t>978-628-7783-32-4</t>
  </si>
  <si>
    <t>Planeación laboral. Estrategia financiera para emprendedores y empresarios</t>
  </si>
  <si>
    <t xml:space="preserve">CONSTANZA LORETH FAJARDO CALDERON </t>
  </si>
  <si>
    <t>Santa Fajardo, Laura Michel</t>
  </si>
  <si>
    <t>Santa Fajardo, Magda del Pilar</t>
  </si>
  <si>
    <t>Producción de videos, cinematográficas o fonográficas</t>
  </si>
  <si>
    <t>Libros resultado de Investigación</t>
  </si>
  <si>
    <t>Revistas especializadas</t>
  </si>
  <si>
    <t>Libros de Texto</t>
  </si>
  <si>
    <t>Libros de Ensayo</t>
  </si>
  <si>
    <t>Premios Nacionales e internacionales</t>
  </si>
  <si>
    <t>Patentes</t>
  </si>
  <si>
    <t>Traducciones de libros</t>
  </si>
  <si>
    <t>Obras Artísticas</t>
  </si>
  <si>
    <t>Producción Técnica</t>
  </si>
  <si>
    <t>Producción de Software</t>
  </si>
  <si>
    <t>Productividad académica</t>
  </si>
  <si>
    <t>Título universitarios de pregrado y posgrado</t>
  </si>
  <si>
    <t xml:space="preserve">Ascenso de categoría - escalafón docente </t>
  </si>
  <si>
    <t>Actividades académico - administrativas</t>
  </si>
  <si>
    <t>Desempeño destacado docente</t>
  </si>
  <si>
    <t>Experiencia Calificada</t>
  </si>
  <si>
    <t>Total</t>
  </si>
  <si>
    <t>OFICINA ASUNTOS DOCENTES</t>
  </si>
  <si>
    <t>INFORME DE TOPES DE PUNTOS ASIGNADOS POR CATEGORÍAS</t>
  </si>
  <si>
    <t>APELLIDOS Y NOMBRE</t>
  </si>
  <si>
    <t>CÉDULA DE CIUDADANÍA O EXTRANJERÍA</t>
  </si>
  <si>
    <t>DEPENDENCIA DIRECTA</t>
  </si>
  <si>
    <t>DEDICACIÓN</t>
  </si>
  <si>
    <t xml:space="preserve">FECHA DE INGRESO </t>
  </si>
  <si>
    <t>TOTAL PUNTOS A DICIEMBRE DE 2009</t>
  </si>
  <si>
    <t>TOTAL PUNTOS A DICIEMBRE DE 2010</t>
  </si>
  <si>
    <t>TOTAL PUNTOS A DICIEMBRE DE 2011</t>
  </si>
  <si>
    <t>PUNTOS PRODUCT.ACADEM. 2012</t>
  </si>
  <si>
    <t>PUNTOS PRODUCT.ACADEM. 2013</t>
  </si>
  <si>
    <t>PUNTOS PRODUCT.ACADEM. 2014</t>
  </si>
  <si>
    <t>PUNTOS PRODUCT.ACADEM. 2015</t>
  </si>
  <si>
    <t>PUNTOS PRODUCT.ACADEM. 2016</t>
  </si>
  <si>
    <t>PUNTOS PRODUCT.ACADEM. DIC_2017</t>
  </si>
  <si>
    <t>PUNTOS PRODUCT.ACADEM. DIC_2018</t>
  </si>
  <si>
    <t>PUNTOS PRODUCT.ACADEM. DIC_2019</t>
  </si>
  <si>
    <t>PUNTOS PRODUCT.ACADEM. DIC_2020</t>
  </si>
  <si>
    <t>PUNTOS PRODUCT.ACADEM. DIC_2021</t>
  </si>
  <si>
    <t>PUNTOS PRODUCT.ACADEM. DIC_2022</t>
  </si>
  <si>
    <t>PUNTOS PRODUCT.ACADEM. ENE-DIC_2023</t>
  </si>
  <si>
    <t>PUNTOS PRODUCT.ACADEM. ENE-DIC_2024</t>
  </si>
  <si>
    <t>PUNTOS PRODUCT.ACADEM. ENE-DIC_2025</t>
  </si>
  <si>
    <t>TOPE</t>
  </si>
  <si>
    <t>DIFERENCIA
ENTRE EL TOPE Y EL PUNTAJE
ASIGNADO</t>
  </si>
  <si>
    <t>PUNTOS A FAVOR</t>
  </si>
  <si>
    <t>TOPE POR LIBROS
 (Max. 35 Puntos)</t>
  </si>
  <si>
    <t>TOPE POR SOFTWARE
 (Max. 35 Puntos)</t>
  </si>
  <si>
    <t>COMISION ACADÉMICO ADMINISTRATIVA</t>
  </si>
  <si>
    <t>BERMUDEZ RESTREPO CAROLINA</t>
  </si>
  <si>
    <t>Ciencias Económicas</t>
  </si>
  <si>
    <t>GARCÍA GIRALDO CARLOS ANDRÉS</t>
  </si>
  <si>
    <t>GIRALDO CORREA MARÍA PATRICIA</t>
  </si>
  <si>
    <t>Ago.08/2017</t>
  </si>
  <si>
    <t>GUZMAN DIAZ BEATRIZ ELENA</t>
  </si>
  <si>
    <t xml:space="preserve">JARAMILLO LOTERO RAFAEL ALEXANDER </t>
  </si>
  <si>
    <t>PARRA HERNÁNDEZ RAMIRO</t>
  </si>
  <si>
    <t>04/082008</t>
  </si>
  <si>
    <t>TORRES QUINTERO LAURA LICETH</t>
  </si>
  <si>
    <t>ARRUBLA FRANCO MARIBETH</t>
  </si>
  <si>
    <t>12,4 puntos CIARP 7 29/10/2025</t>
  </si>
  <si>
    <t>Inició comisión académico-admon el 07/05/2025 como Directora del Programa de Administración Financiera</t>
  </si>
  <si>
    <t xml:space="preserve">CAICEDO GONZÁLEZ IVONNE </t>
  </si>
  <si>
    <t>HOYOS WALTEROS HERNÁN</t>
  </si>
  <si>
    <t>ROMAN VALENCIA BERLY</t>
  </si>
  <si>
    <t>CASTAÑEDA PATIÑO JUAN CARLOS</t>
  </si>
  <si>
    <t>Artes Visuales</t>
  </si>
  <si>
    <t>Ciencias Humanas</t>
  </si>
  <si>
    <t>GUTIÉRREZ MORENO MILDRED EUGENIA</t>
  </si>
  <si>
    <t>MARTÍNEZ PLAZAS MARIO ANDRÉS</t>
  </si>
  <si>
    <t xml:space="preserve">AGUILLÓN OSMA JOHANNY </t>
  </si>
  <si>
    <t>Ciencias Básicas</t>
  </si>
  <si>
    <t>AGUIRRE OBANDO OSCAR ALEXANDER</t>
  </si>
  <si>
    <t>GARCIA CARDENAS DELLY ROCIO</t>
  </si>
  <si>
    <t xml:space="preserve">Doctorado </t>
  </si>
  <si>
    <t>GARCÍA MERCHAN VICTOR HUGO</t>
  </si>
  <si>
    <t>GIRALDO GARCÍA ALEJANDRA MARÍA</t>
  </si>
  <si>
    <t>0,6 puntos CIARP 5-05/06/23</t>
  </si>
  <si>
    <t>Inició comisión académico-admon el 03/05/2023 como Vicerrectora de Extensión</t>
  </si>
  <si>
    <t>GÓMEZ MARÍN GERMÁN DARÍO</t>
  </si>
  <si>
    <t>LOANGO CHAMORRO NELSY</t>
  </si>
  <si>
    <t>LORA SUÁREZ FABIANA MARÍA</t>
  </si>
  <si>
    <t>MANTILLA MELUK HUGO</t>
  </si>
  <si>
    <t xml:space="preserve">Biología </t>
  </si>
  <si>
    <t>ROMAN VALENCIA CESAR</t>
  </si>
  <si>
    <t>SEPÚLVEDA NIETO MARÍA DEL PILAR</t>
  </si>
  <si>
    <t xml:space="preserve">VALENCIA ROJAS MÓNICA PATRICIA </t>
  </si>
  <si>
    <t>VARGAS SALINAS FERNANDO</t>
  </si>
  <si>
    <t>CASTRO BENAVIDES LINA MARÍA</t>
  </si>
  <si>
    <t>HERNÁNDEZ CARVAJAL ANDRÉS MAURICIO</t>
  </si>
  <si>
    <t>RAMÍREZ AGUDELO ANGÉLICA MARÍA</t>
  </si>
  <si>
    <t>DIAZ ARENAS PEDRO FELIPE</t>
  </si>
  <si>
    <t>Comunicación Social - Periodismo</t>
  </si>
  <si>
    <t>GIRALDO MARIN LUCERO</t>
  </si>
  <si>
    <t>GRANADOS MORENO WILSON HORACIO</t>
  </si>
  <si>
    <t>LEAL LARRARTE SANDRA ADRIANA</t>
  </si>
  <si>
    <t>LOZANO BOTACHE JORGE PRUDENCIO</t>
  </si>
  <si>
    <t>MEJÍA ESCOBAR BIBIANA MAGALY</t>
  </si>
  <si>
    <t>URREA GIRALDO JORGE EDUARDO</t>
  </si>
  <si>
    <t>VEJARANO BOLÍVAR RICARDO ALONSO</t>
  </si>
  <si>
    <t>ARANGO MEDINA DEICY</t>
  </si>
  <si>
    <t>BOTERO VILLA JUAN JOSÉ</t>
  </si>
  <si>
    <t>CABAL CRUZ CLAUDIA CONSTANZA</t>
  </si>
  <si>
    <t xml:space="preserve">CATAÑO CASTRO FRANKLIN </t>
  </si>
  <si>
    <t>CEBALLOS RINCON OLGA INÉS</t>
  </si>
  <si>
    <t>DIAZ CRUZ MARÍA CONSTANZA</t>
  </si>
  <si>
    <t>DONNEYS BELTRAN OMAR ALBERTO</t>
  </si>
  <si>
    <t>FAJARDO CALDERON CONSTANZA L.</t>
  </si>
  <si>
    <t>GIRALDO DE ROJAS MARTHA CECILIA</t>
  </si>
  <si>
    <t>LÓPEZ CASTAÑEDA LINA MARÍA</t>
  </si>
  <si>
    <t>MEJÍA CASTELLANOS LUZ AMPARO</t>
  </si>
  <si>
    <t>MEJÍA SOTO EUTIMIO</t>
  </si>
  <si>
    <t>RAMÍREZ LOZANO JAMES</t>
  </si>
  <si>
    <t>RAMÌREZ OSORIO JORGE HUMBERTO</t>
  </si>
  <si>
    <t>ROMERO RESTREPO MIRYAM</t>
  </si>
  <si>
    <t>Especialización</t>
  </si>
  <si>
    <t>SIERRA PRIETO REYNALDO</t>
  </si>
  <si>
    <t>21 puntos CIARP 9-16/06/22</t>
  </si>
  <si>
    <t>Inició comisión académico-admon el 01/06/2023 como Decano de la Facultad de Ciencias Economicas // Estaba en comisión Academico-Admon como Jefe de Planeación desde el 16/06/2015 - Pendiente 21 puntos por ascenso 2022.</t>
  </si>
  <si>
    <t>TARAPUEZ CHAMORRO EDWIN IGNACIO</t>
  </si>
  <si>
    <t>TORRES CASTAÑO ANA GLADYS</t>
  </si>
  <si>
    <t>VÉLEZ RAMÍREZ RUBÉN ANTONIO</t>
  </si>
  <si>
    <t>ARISTIZÁBAL TORO ANDRÉS FELIPE</t>
  </si>
  <si>
    <t>Economía</t>
  </si>
  <si>
    <t>CASTRO DÍAZ ALEXANDER</t>
  </si>
  <si>
    <t>CORREA VALENCIA CARLOS IVÁN</t>
  </si>
  <si>
    <t>FLÓREZ LAISECA ADRIANA MARÍA</t>
  </si>
  <si>
    <t>12 puntos CIARP 5-17/07/25
20 puntos CIARP 6-29/08/25
14 puntos CIARP 7-29/10/25</t>
  </si>
  <si>
    <t>Inició comisión académico-admon el 01/06/2023 como Directora del Programa de Economía</t>
  </si>
  <si>
    <t>RESTREPO PATIÑO MEDARDO DE JESÚS</t>
  </si>
  <si>
    <t>TRUJILLO OSORIO CATALINA</t>
  </si>
  <si>
    <t>CORREA SUÁREZ GLORIA MARCELA</t>
  </si>
  <si>
    <t>CORTES GALLEGO MÓNICA MARÍA</t>
  </si>
  <si>
    <t xml:space="preserve">ESCOBAR ESCOBAR MARÍA BEATRIZ </t>
  </si>
  <si>
    <t>FERNÁNDEZ RINCÓN CARMEN AYDÉ</t>
  </si>
  <si>
    <t>HENAO BURITICÁ ADIELA</t>
  </si>
  <si>
    <t>LONDOÑO BURITICÁ DIANA PATRICIA</t>
  </si>
  <si>
    <t>MONDRAGÓN SÁNCHEZ EDNA JOHANA</t>
  </si>
  <si>
    <t xml:space="preserve">PEREZ SAAVEDRA ANA PATRICIA </t>
  </si>
  <si>
    <t>MOLINA ZAPATA JORGE ELIÉCER</t>
  </si>
  <si>
    <t>Filosofía</t>
  </si>
  <si>
    <t>OCAMPO SEPÚLVEDA GABRIEL</t>
  </si>
  <si>
    <t>POSADA RAMIREZ JORGE GREGORIO</t>
  </si>
  <si>
    <t>04808/2008</t>
  </si>
  <si>
    <t>SANCHEZ JOSE REINEL</t>
  </si>
  <si>
    <t>VÉLEZ ISYS</t>
  </si>
  <si>
    <t>BASTO GONZÁLEZ VÍCTOR SAUL</t>
  </si>
  <si>
    <t>Física</t>
  </si>
  <si>
    <t>CARMONA TABARES PAULO CÉSAR</t>
  </si>
  <si>
    <t>CASTILLO CHAMORRO JOSÉ HUMBERTO</t>
  </si>
  <si>
    <t>GÓMEZ GONZÁLEZ EDGAR ARTURO</t>
  </si>
  <si>
    <t>15 puntos CIARP 2-12/03/24
6 puntos CIARP 6-29/08/25</t>
  </si>
  <si>
    <t>Inició comisión académico-admon el 01/06/2023 como Director del Programa de Física</t>
  </si>
  <si>
    <t>HOYOS RINCON ISABEL CRISTINA</t>
  </si>
  <si>
    <t>MOSQUERA MOSQUERA JULIO CÉSAR</t>
  </si>
  <si>
    <t>GIRALDO ZULUAGA GLORIA AMPARO</t>
  </si>
  <si>
    <t>Gerontología</t>
  </si>
  <si>
    <t>GÓMEZ SANTOS CÉSAR AUGUSTO</t>
  </si>
  <si>
    <t>LÓPEZ CARDOZO LILIA INÉS</t>
  </si>
  <si>
    <t>ARBOLEDA AUDRITO CARLOS JULIO</t>
  </si>
  <si>
    <t>CANO SALDAÑA LEONARDO</t>
  </si>
  <si>
    <t>CASTRO BENAVIDES ALBA LUCÍA</t>
  </si>
  <si>
    <t>CUARTAS VARÓN LUISA FERNANDA</t>
  </si>
  <si>
    <t>CUÉLLAR REYES ÁLVARO JAVIER</t>
  </si>
  <si>
    <t>FLÓREZ GALVEZ JORGE HERNÁN</t>
  </si>
  <si>
    <t>GARCIA LEAL JUAN CARLOS</t>
  </si>
  <si>
    <t>GARCÍA OCAMPO CARLOS ARTURO</t>
  </si>
  <si>
    <t>GARCÍA REINOSO PEDRO LEÓN</t>
  </si>
  <si>
    <t>GUZMAN MELENDEZ MARÍA ROSA</t>
  </si>
  <si>
    <t>LOZANO SANDOVAL GABRIEL</t>
  </si>
  <si>
    <t>MARMOLEJO CARDONA MARIO ALBERTO</t>
  </si>
  <si>
    <t xml:space="preserve">Asistente </t>
  </si>
  <si>
    <t>MONSALVE DURANGO ELKIN ANIBAL</t>
  </si>
  <si>
    <t>POLANIA OBANDO LUIS FERNANDO</t>
  </si>
  <si>
    <t>14,6 puntos CIARP 6-25/09/19
16 puntos CIARP 6-31/03/22
8 puntos CIARP 7-17/08/23</t>
  </si>
  <si>
    <t>Inició comisión académico-admon el 01/05/2023 como Rector, estaba en comisión académico-admon como Vicerrector de Extensión desde el 30/12/2015</t>
  </si>
  <si>
    <t>SALAZAR SALAZAR ORLANDO</t>
  </si>
  <si>
    <t>Inició comisión académico-admon el 02/05/2023 como Vicerrector Académico</t>
  </si>
  <si>
    <t>VALENCIA MINA WILLIAM</t>
  </si>
  <si>
    <t>VALENZUELA BOTERO CAROLINA</t>
  </si>
  <si>
    <t xml:space="preserve">Inició comisión académico-admon el 01/06/2023 como Decana de la Facultad de Ingeniería </t>
  </si>
  <si>
    <t>AGUDELO LAVERDE LINA MARCELA</t>
  </si>
  <si>
    <t>Ingeniería de Alimentos</t>
  </si>
  <si>
    <t>C. Agroindustriales</t>
  </si>
  <si>
    <t xml:space="preserve">Post-Doctorado </t>
  </si>
  <si>
    <t>LUCAS AGUIRRE JUAN CARLOS</t>
  </si>
  <si>
    <t>LUNA RAMÍREZ JULIO CÉSAR</t>
  </si>
  <si>
    <t>MARÍN ARANGO ZAIRA TATIANA</t>
  </si>
  <si>
    <t>PINZON FANDIÑO MAGDA IVONNE</t>
  </si>
  <si>
    <t>QUINTERO CASTAÑO VICTOR DUMAR</t>
  </si>
  <si>
    <t>7,5 puntos CIARP 5-17/07/25
6 puntos CIARP 6-29/08/25</t>
  </si>
  <si>
    <t>Inició comisión académico-admon el 01/06/2023 como Decano de la Facultad de Ciencias Agroindustriales</t>
  </si>
  <si>
    <t>TORRES VARGAS OLGA LUCÍA</t>
  </si>
  <si>
    <t>CANDELA URIBE CHRISTIAN ANDRÉS</t>
  </si>
  <si>
    <t>CARDONA TORRES SERGIO AUGUSTO</t>
  </si>
  <si>
    <t>CASTRO ROJAS LUIS FERNANDO</t>
  </si>
  <si>
    <t>ESPITIA PEÑA ESPERANZA</t>
  </si>
  <si>
    <t>GIRALDO OROZCO WILLIAM JOSEPH</t>
  </si>
  <si>
    <t>GIRALDO VELÁSQUEZ FABER DANILO</t>
  </si>
  <si>
    <t>Inició comisión académico-admon el 02/05/2023 como Vicerrector de Investigación</t>
  </si>
  <si>
    <t>GOMEZ MONTOYA CARLOS EDUARDO</t>
  </si>
  <si>
    <t>GUTIERREZ POSADA JULIAN ESTEBAN</t>
  </si>
  <si>
    <t>HERRERA MORALES JORGE ORLANDO</t>
  </si>
  <si>
    <t>JARAMILLO VALBUENA SONIA</t>
  </si>
  <si>
    <t>PULGARIN GIRALDO ROBINSON</t>
  </si>
  <si>
    <t>Inició comisión académico-admon el 01/06/2023 como Director del Programa de Ingeniería de Sistemas // Estaba como director del programa desde el 14/07/2022</t>
  </si>
  <si>
    <t>PULGARIN GIRALDO WILLIAM</t>
  </si>
  <si>
    <t>ROMERO CUERO EDWIN</t>
  </si>
  <si>
    <t>RUIZ GAONA ALEXANDRA</t>
  </si>
  <si>
    <t>SEPÚLVEDA RODRÍGUEZ LUIS EDUARDO</t>
  </si>
  <si>
    <t>TRIVIÑO ARBELAEZ JORGE IVÁN</t>
  </si>
  <si>
    <t>VILLEGAS RAMÍREZ MARÍA LILI</t>
  </si>
  <si>
    <t>ALDANA GUTIÉRREZ JORGE ALEJANDRO</t>
  </si>
  <si>
    <t>ASTAIZA HOYOS EVELIO</t>
  </si>
  <si>
    <t>BERMÚDEZ OROZCO HÉCTOR FABIO</t>
  </si>
  <si>
    <t>01/24/2005</t>
  </si>
  <si>
    <t>BUITRAGO JAIME ALBERTO</t>
  </si>
  <si>
    <t xml:space="preserve">CAMPO MUÑOZ WILMAR YESID </t>
  </si>
  <si>
    <t>CARDONA ARISTIZABAL JAIBER EVELIO</t>
  </si>
  <si>
    <t>IBARGUEN OCAMPO FRANCISCO JAVIER</t>
  </si>
  <si>
    <t>JARAMILLO PATIÑO DIEGO FERNANDO</t>
  </si>
  <si>
    <t>JIMENEZ TRUJILLO WILMER DIEGO</t>
  </si>
  <si>
    <t>LÓPEZ PARRADO ALEXANDER</t>
  </si>
  <si>
    <t xml:space="preserve">Asociado </t>
  </si>
  <si>
    <t>MARÍN HURTADO JORGE IVÁN</t>
  </si>
  <si>
    <t>NAVARRO PEREZ ÁLVARO ANDRÉS</t>
  </si>
  <si>
    <t>RAMÍREZ JIMÉNEZ DIEGO FERNANDO</t>
  </si>
  <si>
    <t>VERA TASAMA ALEXANDER</t>
  </si>
  <si>
    <t>DUQUE ARANGO JOHN JAIRO</t>
  </si>
  <si>
    <t>16 puntos CIARP 8-19/11/25</t>
  </si>
  <si>
    <t>Inició comisión académico-admon el 01/06/2023 como Director del Programa de Ingeniería Topográfica y Geomática</t>
  </si>
  <si>
    <t>GARZÓN BARRERO JULIÁN</t>
  </si>
  <si>
    <t>HURTADO BEDOYA CARLOS ALBERTO</t>
  </si>
  <si>
    <t>JIMENEZ CLEVES GONZALO</t>
  </si>
  <si>
    <t>LONDOÑO PINILLA DARÍO FERNANDO</t>
  </si>
  <si>
    <t>VILA ORTEGA JOSE JOAQUIN</t>
  </si>
  <si>
    <t>VILLALOBOS NIETO GUSTAVO</t>
  </si>
  <si>
    <t>CORREA GALLEGO HERNANDO</t>
  </si>
  <si>
    <t xml:space="preserve">Instituto interdisciplinario de las ciencias </t>
  </si>
  <si>
    <t>TIRADO MEJIA LILIANA DEL 
SOCORRO</t>
  </si>
  <si>
    <t>BUSTAMANTE TORO CESAR AUGUSTO</t>
  </si>
  <si>
    <t>CARDONA OLARTE PEDRO PABLO</t>
  </si>
  <si>
    <t>CHACÓN RAMÍREZ CARLOS ALBERTO</t>
  </si>
  <si>
    <t>MOLANO NIÑO ALBA CAROLINA</t>
  </si>
  <si>
    <t>MOLINA RICO LIGIA JANNETH</t>
  </si>
  <si>
    <t>9,4 puntos CIARP 3-30/05/25
12 puntos CIARP 6-29/08/25
22 puntos CIARP 8-19/11/25</t>
  </si>
  <si>
    <t>Inició comisión académico-admon el 03/05/2023 como Decana de la Facultad de Ciencias de la Educación</t>
  </si>
  <si>
    <t>SALAZAR SALAZAR MARLENY</t>
  </si>
  <si>
    <t>SUAREZ ROMAN ROCIO STELLA</t>
  </si>
  <si>
    <t>AYALA ZULUAGA JOSÉ ENVER</t>
  </si>
  <si>
    <t>Lic. en Educación Física, Recreación y Deportes</t>
  </si>
  <si>
    <t>CARDONA PATIÑO JHOJAN</t>
  </si>
  <si>
    <t>LÓPEZ GARCÍA JORGE ALBERTO</t>
  </si>
  <si>
    <t>SÁNCHEZ MUÑOZ JUAN CARLOS</t>
  </si>
  <si>
    <t>SÁNCHEZ MUÑOZ OSCAR EDUARDO</t>
  </si>
  <si>
    <t>TABARES RAMÍREZ CARLOS ANDRÉS</t>
  </si>
  <si>
    <t>BUSTAMANTE GUTIÉRREZ CARLOS ALFONSO</t>
  </si>
  <si>
    <t>Lic. en Educación Infantil</t>
  </si>
  <si>
    <t>JIMÉNEZ ROJAS ANGELA MARÍA</t>
  </si>
  <si>
    <t>MARIN RIOS LUIS FERNANDO</t>
  </si>
  <si>
    <t>MORALES OSORIO CARLOS ALVEIRO</t>
  </si>
  <si>
    <t>SALAZAR ARBELAEZ CARMEN ALICIA</t>
  </si>
  <si>
    <t>BOTERO RESTREPO MARGARITA ALEXANDRA</t>
  </si>
  <si>
    <t>Lic. en Lenguas Modernas con énfasis en Inglés y Francés</t>
  </si>
  <si>
    <t>CALDERON BENAVIDES JHON JAIRO</t>
  </si>
  <si>
    <t xml:space="preserve">GARCÍA BOTERO JACQUELINE </t>
  </si>
  <si>
    <t>HERNÁNDEZ MOLINA MAGDA YAZMÍN</t>
  </si>
  <si>
    <t>HERRERA PINEDA JORGE HERNÁN</t>
  </si>
  <si>
    <t>LEAL ANDREIA</t>
  </si>
  <si>
    <t>MONTOYA GÓMEZ OSCAR HERNÁN</t>
  </si>
  <si>
    <t>MORENO SERNA LINA MARÍA</t>
  </si>
  <si>
    <t>REYES GALEANO CRISTIAN CAMILO</t>
  </si>
  <si>
    <t xml:space="preserve">RICO BUITRAGO LARISSA TATIANA </t>
  </si>
  <si>
    <t>SERNA RESTREPO JHON ALEXANDER</t>
  </si>
  <si>
    <t>21 puntos CIARP 8-29/11/24
8 puntos CIARP 1-27/02/25</t>
  </si>
  <si>
    <t>Inició comisión académico-admon el 11/10/2024 como Director del Programa de Lic. En Lenguas Modernas</t>
  </si>
  <si>
    <t>VALENCIA CASTRILLON MARTHA LUZ</t>
  </si>
  <si>
    <t>VELA SAAVEDRA JHONATAN</t>
  </si>
  <si>
    <t>ACEVEDO CARVAJAL JUAN MANUEL</t>
  </si>
  <si>
    <t>Lic. en Literatura y Lengua Castellana</t>
  </si>
  <si>
    <t>CANO BETANCUR ALVARO EDUARDO</t>
  </si>
  <si>
    <t>CARO LOPERA MIGUEL ANGEL</t>
  </si>
  <si>
    <t>RODRÍGUEZ LEÓN DANIEL MAURICIO</t>
  </si>
  <si>
    <t>VALENCIA LINA MARIANA</t>
  </si>
  <si>
    <t>ZAMBRANO VALENCIA JUAN DAVID</t>
  </si>
  <si>
    <t>ABELLO MUÑOZ CARLOS ALBERTO</t>
  </si>
  <si>
    <t>Lic. en Matemáticas</t>
  </si>
  <si>
    <t xml:space="preserve">Titular </t>
  </si>
  <si>
    <t>ACOSTA MINOLI CESAR AUGUSTO</t>
  </si>
  <si>
    <t>ALDANA BERMÚDEZ ELIECER</t>
  </si>
  <si>
    <t>ALVAREZ MEJIA DARIO</t>
  </si>
  <si>
    <t>CARMONA SUAREZ EDGAR JAVIER</t>
  </si>
  <si>
    <t>8,4 puntos CIARP 29/10/25
8,8 puntos CIARP 29/10/25
9 puntos CIARP 29/10/25</t>
  </si>
  <si>
    <t>COLORADO TORRES HUMBERTO</t>
  </si>
  <si>
    <t>GALVIS SOTO DIANA MILENA</t>
  </si>
  <si>
    <t>GARCIA GONZALEZ MARIA DOLLY</t>
  </si>
  <si>
    <t>GARCÌA  USUGA JORGE MARIO</t>
  </si>
  <si>
    <t>GUTIERREZ ZULUAGA HEILLER</t>
  </si>
  <si>
    <t>MENDEZ PARRA ROSA MARÍA</t>
  </si>
  <si>
    <t>OSPINA MARULANDA LILIANA PATRICIA</t>
  </si>
  <si>
    <t>SALCEDO ECHEVERRY GLADYS ELENA</t>
  </si>
  <si>
    <t>TORO ZAPATA HERNÁN DARIO</t>
  </si>
  <si>
    <t>BERRIO MUÑOZ JOAQUÍN ELIER</t>
  </si>
  <si>
    <t>MT</t>
  </si>
  <si>
    <t xml:space="preserve">CABEZA ACEVEDO NANCY YHOMARA </t>
  </si>
  <si>
    <t>CASTAÑO OSORIO JHON CARLOS</t>
  </si>
  <si>
    <t>COLONIA GUTIERREZ OSCAR ALBERTO</t>
  </si>
  <si>
    <t xml:space="preserve">DUQUE VALENCIA JORGE LUIS </t>
  </si>
  <si>
    <t>GAITAN BUITRAGO MARÍA HELENA</t>
  </si>
  <si>
    <t>GARCÍA ZULUAGA GILBERTO</t>
  </si>
  <si>
    <t>GAVIRIA RINCON GERMAN</t>
  </si>
  <si>
    <t>GOMEZ MARIN JORGE ENRIQUE</t>
  </si>
  <si>
    <t>GONZALEZ DE SH. MARIA MERCEDES</t>
  </si>
  <si>
    <t>LANDAZURI PATRICIA</t>
  </si>
  <si>
    <t>MURILLO WILLS HECTOR</t>
  </si>
  <si>
    <t>Pregrado</t>
  </si>
  <si>
    <t>NIETO CÁRDENAS OLGA ALICIA</t>
  </si>
  <si>
    <t>OROZCO GONZÁLEZ RICHARD JAMES</t>
  </si>
  <si>
    <t>PADILLA SANABRIA LEONARDO</t>
  </si>
  <si>
    <t>RUIZ HOYOS BAYRON MANUEL</t>
  </si>
  <si>
    <t>SÁNCHEZ VALLEJO JAIME</t>
  </si>
  <si>
    <t>ZULUAGA GALLEGO JORGE</t>
  </si>
  <si>
    <t>AGUDELO AGUIRRE FERNANDO</t>
  </si>
  <si>
    <t>ARIZA HURTADO JAIRO</t>
  </si>
  <si>
    <t>BLACH VARGAS DIANA</t>
  </si>
  <si>
    <t>CUENÚ CABEZAS FERNANDO</t>
  </si>
  <si>
    <t>DUQUE CIFUENTES ALBA LUCIA</t>
  </si>
  <si>
    <t>GARCIA DE OSSA JHON JAIRO</t>
  </si>
  <si>
    <t>GARCÍA RÍOS ALEJANDRO</t>
  </si>
  <si>
    <t>GOMEZ BARRERA MILTON</t>
  </si>
  <si>
    <t>MONTOYA LÓPEZ JAIRO</t>
  </si>
  <si>
    <t>RIOS VÁSQUEZ EUNICE</t>
  </si>
  <si>
    <t>10 puntos CIARP 2-12/03/24
6,7 puntos CIARP 1-27/02/25</t>
  </si>
  <si>
    <t>Inició comisión académico-admon el 01/06/2023 como Decana de la Facultad de Ciencias Básicas y Tecnologías</t>
  </si>
  <si>
    <t xml:space="preserve">RODRÍGUEZ ESPINOSA JHON ALEXANDER </t>
  </si>
  <si>
    <t>6 puntos CIARP 4-17/06/24
8 puntos CIARP 1-27/02/25</t>
  </si>
  <si>
    <t>Inició comisión académico-admon el 01/06/2023 como Director del Programa de Química</t>
  </si>
  <si>
    <t>SANCHEZ LOPEZ ALBERTO</t>
  </si>
  <si>
    <t>VILLA ZABALA CRISTIAN CAMILO</t>
  </si>
  <si>
    <t>GÓMEZ YEPES MILENA ELIZABETH</t>
  </si>
  <si>
    <t>PÉREZ PENAGOS JOHN JAMES</t>
  </si>
  <si>
    <t>RENDÓN GARCÍA OLGA LUCÍA</t>
  </si>
  <si>
    <t>RODRÍGUEZ IDROBO NASLY CRISTINA</t>
  </si>
  <si>
    <t>SAZA RAMÍREZ NOLBEDIR</t>
  </si>
  <si>
    <t>VILLAMIZAR VARGAS RAFAEL HUMBERTO</t>
  </si>
  <si>
    <t>ARANGO RAMIRO</t>
  </si>
  <si>
    <t>Tecnología en 
Instrumentación  Electrónica</t>
  </si>
  <si>
    <t>CARDENAS VALENCIA CARLOS ANDRÉS</t>
  </si>
  <si>
    <t>CARDONA BOTERO HUBERT</t>
  </si>
  <si>
    <t>GARCIA ARIAS JAIR ASDRUBAL</t>
  </si>
  <si>
    <t>GARCIA ARIAS RAMIRO</t>
  </si>
  <si>
    <t>GORDILLO DELGADO FERNANDO</t>
  </si>
  <si>
    <t>HOYOS GUTIERREZ JOSE GABRIEL</t>
  </si>
  <si>
    <t>Tecnología en Instrumentación  Electrónica</t>
  </si>
  <si>
    <t>MUÑOZ GUTIERREZ PABLO ANDRÉS</t>
  </si>
  <si>
    <t>PADILLA BEJARANO JOSÉ BESTIER</t>
  </si>
  <si>
    <t>PRIAS BARRAGAN JHON JAIRO</t>
  </si>
  <si>
    <t>BOTERO ECHEVERRY GUSTAVO</t>
  </si>
  <si>
    <t>Tecnología en Obras Civiles</t>
  </si>
  <si>
    <t>CASTRO BENAVIDEZ LUZ ADRIANA</t>
  </si>
  <si>
    <t>CARDONA HERNÁNDEZ LEYDI CAROLINA</t>
  </si>
  <si>
    <t>DE LA ROSA BOBADILLA JHON JAIME</t>
  </si>
  <si>
    <t>22 puntos CIARP 8-29/11/24
12,8 puntos CIARP 7-29/10/25</t>
  </si>
  <si>
    <t>Inició comisión académico-admon el 01/06/2023 como Decano de la Facultad de Ciencias Humanas y Bellas Artes</t>
  </si>
  <si>
    <t>GIL RÍOS ANA MARÍA</t>
  </si>
  <si>
    <t xml:space="preserve">MARTÍNEZ GONZÁLEZ LINA MARÍA </t>
  </si>
  <si>
    <t>16 puntos CIARP 9-24/11/23 
3 puntos CIARP 5-29/08/24</t>
  </si>
  <si>
    <t>Inició comisión académico-admon el 01/06/2023 como Directora del Programa de Trabajo Social</t>
  </si>
  <si>
    <t>MORALES VASCO MARÍA LEONOR</t>
  </si>
  <si>
    <t>PARDO SANTAMARÍA RUBEN DARIO</t>
  </si>
  <si>
    <t>QUINTANA URREA LEONARDO IVAN</t>
  </si>
  <si>
    <t>SUÁREZ ARIAS ALBA LEONILDE</t>
  </si>
  <si>
    <t xml:space="preserve">VELA MURILLO NORMA PATRICIA </t>
  </si>
  <si>
    <t>GUTIÉRREZ ROBLEDO RAMÓN</t>
  </si>
  <si>
    <t>Zootecnia</t>
  </si>
  <si>
    <t>Ciencias Agroindustriales</t>
  </si>
  <si>
    <t>HURTADO VILLEGAS JAIME</t>
  </si>
  <si>
    <t>REYES PINEDA HENRY</t>
  </si>
  <si>
    <t>VILLA RAMÍREZ RIGOBERTO</t>
  </si>
  <si>
    <t>Inició comisión académico-admon el 01/06/2023 como Director del Programa de Zootecnia</t>
  </si>
  <si>
    <t>Docentes en cargo Académico-Administrativo</t>
  </si>
  <si>
    <t>Columna27</t>
  </si>
  <si>
    <t>Columna28</t>
  </si>
  <si>
    <t>Columna29</t>
  </si>
  <si>
    <t>Columna30</t>
  </si>
  <si>
    <t>Columna31</t>
  </si>
  <si>
    <t>Columna32</t>
  </si>
  <si>
    <t>Columna33</t>
  </si>
  <si>
    <t>Columna34</t>
  </si>
  <si>
    <t>Columna35</t>
  </si>
  <si>
    <t>Columna36</t>
  </si>
  <si>
    <t>Columna37</t>
  </si>
  <si>
    <t>Columna38</t>
  </si>
  <si>
    <t>Columna39</t>
  </si>
  <si>
    <t>Columna40</t>
  </si>
  <si>
    <t>Administración de Negocios</t>
  </si>
  <si>
    <t>Administración Financiera</t>
  </si>
  <si>
    <t>No. de productos</t>
  </si>
  <si>
    <t>NUMERO DE AUTORES</t>
  </si>
  <si>
    <t>PAR EVALUADOR MINCIENCIAS 1</t>
  </si>
  <si>
    <t>PAR EVALUADOR MINCIENCIAS 2</t>
  </si>
  <si>
    <t>Universidad de Manizales</t>
  </si>
  <si>
    <t>Kinesis Ltda</t>
  </si>
  <si>
    <t>2009 - 2026</t>
  </si>
  <si>
    <t>B</t>
  </si>
  <si>
    <t>NOMBRE DE LA PROD. AUDIOVISUAL</t>
  </si>
  <si>
    <t>APORTE AUDIOVISAL</t>
  </si>
  <si>
    <t>IMPÁCTO</t>
  </si>
  <si>
    <t>DURACIÓN DE LA EMISIÓN Y AÑO DE PRODUCCIÓN</t>
  </si>
  <si>
    <t>ENTIDAD DIFUSORA QUE CERTIFICA</t>
  </si>
  <si>
    <t>Podcast Común-mente, Lectura Dramática</t>
  </si>
  <si>
    <t>Digital</t>
  </si>
  <si>
    <t>Autoría del Contenido y Realizador, Director o Productor Técnico</t>
  </si>
  <si>
    <t>Internacional
Documental</t>
  </si>
  <si>
    <t>26 minutos, 57 segundos
2024</t>
  </si>
  <si>
    <t>La Ufm estéreo</t>
  </si>
  <si>
    <t>ANDRÉS MAURICIO HERNÁNDEZ CARVAJAL</t>
  </si>
  <si>
    <t>Jorge Eduardo Urrea Giraldo</t>
  </si>
  <si>
    <t>Camilo Andrés López Leal</t>
  </si>
  <si>
    <t>Total Puntos por Producción Audiovisual</t>
  </si>
  <si>
    <r>
      <t xml:space="preserve">Eval.1= 12
Eval.2= 9,32
X=10,66
</t>
    </r>
    <r>
      <rPr>
        <b/>
        <u/>
        <sz val="10"/>
        <color rgb="FF006600"/>
        <rFont val="Arial"/>
        <family val="2"/>
      </rPr>
      <t>10,66*80%= 8,5</t>
    </r>
  </si>
  <si>
    <r>
      <t xml:space="preserve">3 Autores
Decreto 1279 de 2002, artículo 10, numeral I, literal b </t>
    </r>
    <r>
      <rPr>
        <i/>
        <sz val="10"/>
        <color rgb="FF006600"/>
        <rFont val="Arial"/>
        <family val="2"/>
      </rPr>
      <t>"Los videos, cinematográficas o fonográficas realizadas con carácter documental tienen como tope, en cada caso, hasta el ochenta por ciento (80%) de lo señalado anteriormente"</t>
    </r>
    <r>
      <rPr>
        <sz val="10"/>
        <color rgb="FF006600"/>
        <rFont val="Arial"/>
        <family val="2"/>
      </rPr>
      <t xml:space="preserve">
Al docente Jorge Eduardo Urrea Giraldo le fue aprobada la producción audiovisual en el CIARP 1 del 27/02/2025</t>
    </r>
  </si>
  <si>
    <t>NOMBRE DEL LIBRO</t>
  </si>
  <si>
    <t>Disonancias del paisaje: análisis socioecosistémico del paisaje cultural cafetero</t>
  </si>
  <si>
    <t>Universidad del
 Quindío</t>
  </si>
  <si>
    <t>3- 30/05/2025</t>
  </si>
  <si>
    <t>ALBA LEONILDE SUAREZ ARIAS</t>
  </si>
  <si>
    <t>Norberto Marín Clavijo</t>
  </si>
  <si>
    <t xml:space="preserve"> LIBROS PROD. INVESTIGACIÓN </t>
  </si>
  <si>
    <t>___________________________________</t>
  </si>
  <si>
    <t>NOMBRE DEL LIBRO TEXTO</t>
  </si>
  <si>
    <t>ESPACIO ACADÉMICO</t>
  </si>
  <si>
    <t>Mercados financieros en el ámbito organizacional</t>
  </si>
  <si>
    <t>978-628-7783-11-9</t>
  </si>
  <si>
    <t>Mercados Financieros</t>
  </si>
  <si>
    <t>MARÍA CONSTANZA DÍAZ CRUZ</t>
  </si>
  <si>
    <t>Yaneth Ladino Villegas</t>
  </si>
  <si>
    <t>Valeria Rivera Quiguanás</t>
  </si>
  <si>
    <t>Generalidades del impuesto de renta de personas naturales en Colombia</t>
  </si>
  <si>
    <t>978-628-7783-02-7</t>
  </si>
  <si>
    <t>Contabilidad Financiera I</t>
  </si>
  <si>
    <t>RUBEN ANTONIO VÉLEZ RAMÍREZ</t>
  </si>
  <si>
    <t>Leidy Johanna Ramírez Ramírez</t>
  </si>
  <si>
    <t xml:space="preserve"> Lina María López Castañeda</t>
  </si>
  <si>
    <t>De cero a económico: Explorando la economía</t>
  </si>
  <si>
    <t>978-628-7783-03-4</t>
  </si>
  <si>
    <t>Microeconomia</t>
  </si>
  <si>
    <t>CARLOS ANDRÉS GARCÍA GIRALDO</t>
  </si>
  <si>
    <t>María Julieta Sánchez Mora</t>
  </si>
  <si>
    <t>Dora Luz Álvarez García</t>
  </si>
  <si>
    <t>TOTAL PUNTOS LIBROS TEXTO</t>
  </si>
  <si>
    <t>DOCUMENTO DE IDENTIFICACIÓN</t>
  </si>
  <si>
    <t>TÍTULO DEL TRABAJO</t>
  </si>
  <si>
    <t xml:space="preserve">PREMIO O DISTINCIÓN </t>
  </si>
  <si>
    <t>ENTIDAD QUE OTORGA EL PREMIO</t>
  </si>
  <si>
    <t>FECHA OTORGAN PREMIO</t>
  </si>
  <si>
    <t>ANA PATRICIA PÉREZ SAAVEDRA</t>
  </si>
  <si>
    <t>Violencia simbólica y la enseñanza de enfermería en educación superior: Revisión sistemática exploratoria</t>
  </si>
  <si>
    <t>Tercer lugar de la categoría de Maestría: ponencia en modalidad de video</t>
  </si>
  <si>
    <t>Universidad de Sonora, Facultad Interdisciplinaria de Ciencias Biológicas y en Salud Departamento de Enfermería</t>
  </si>
  <si>
    <t>19 de abril de 2024</t>
  </si>
  <si>
    <t>2 Autores
No cumple con lo establecido en el Decreto 1279 de 2002, artículo 24, numeral I, ítem g) Premio Nacionales e Internacionales. En los soportes no se evidencia la convocatoria publica a premio. Se adjunta el concepto del Grupo de Seguimiento al 1279 a la consulta 2021-ER-273316 que cita "Se aclara que, los reconocimientos a trabajos presentados en el marco de eventos académicos no corresponden a premios o distinciones salvo que cumplan los requisitos establecidos por el  decreto, en especial, el reconocido prestigio de la institución otorgante y la existencia de una convocatoria de carácter nacional o internacional a participar por el premio o distinción (que no necesariamente coincide con la convocatoria a presentar trabajos en dicho evento académico) lo mismo que la claridad en su proceso de selección.”</t>
  </si>
  <si>
    <t>José Enver Ayala Zuluaga</t>
  </si>
  <si>
    <t>TOTAL PUNTOS PREMIOS</t>
  </si>
  <si>
    <t>IDENTIFICACIÓN DEL AUTOR</t>
  </si>
  <si>
    <t>Tipo de producto</t>
  </si>
  <si>
    <t>Tipo de patente</t>
  </si>
  <si>
    <t>Nombre del producto</t>
  </si>
  <si>
    <t>Número de registro de la patente</t>
  </si>
  <si>
    <t>Fecha de aprobación de la patente</t>
  </si>
  <si>
    <t>Vigencia en años del producto</t>
  </si>
  <si>
    <t>Banco de patentes o entidad que expide el registro</t>
  </si>
  <si>
    <t>HERNANDO CORREA GALLEGO</t>
  </si>
  <si>
    <t>Instituto Interdisciplinario de las Ciencias</t>
  </si>
  <si>
    <t>Patente de Invención</t>
  </si>
  <si>
    <t>De producto</t>
  </si>
  <si>
    <t>PROCESO DE FABRICACIÓN DE UNA PELÍCULA DE AISLAMIENTO ELÉCTRONICO BASADA EN ÓXIDOS DE COBRE PARA RECUBRIMIENTOS DE COBRE</t>
  </si>
  <si>
    <t>18 de marzo de 2022</t>
  </si>
  <si>
    <t>20 años</t>
  </si>
  <si>
    <t>Superintendencia de Industria y Comercio.</t>
  </si>
  <si>
    <t>3- 30/03/2023</t>
  </si>
  <si>
    <t>LILIANA DEL SOCORRO TIRADO MEJÍA</t>
  </si>
  <si>
    <t>TOTAL PUNTOS PATENTES</t>
  </si>
  <si>
    <t>NOMBRE DE LA OBRA ARTÍSTICA</t>
  </si>
  <si>
    <t>RECONOCIMIENTO SOLICITADO</t>
  </si>
  <si>
    <t>FECHA DE CREACIÓN DE LA OBRA / FECHA DE EXPOSICIÓN</t>
  </si>
  <si>
    <t>TÉCNICA UTILIZADA</t>
  </si>
  <si>
    <t xml:space="preserve">I  </t>
  </si>
  <si>
    <t>Dimensiones</t>
  </si>
  <si>
    <t>Artes plásticas</t>
  </si>
  <si>
    <t>Creación original individual</t>
  </si>
  <si>
    <t>10 al 15 de septiembre de 2024</t>
  </si>
  <si>
    <t>Fotografía Dimensional</t>
  </si>
  <si>
    <t>JORGE EDUARDO URREA GIRALDO</t>
  </si>
  <si>
    <t>1 Autor
Al docente Jorge E. Urrea G. solo se le asignan 2.1 de 17.5 puntos, ya que alcanzó el tope máximo de puntos en su categoría de acuerdo a lo establecido en A.C.S 012 de 2009, Artículo Décimo</t>
  </si>
  <si>
    <t>TOTAL PUNTOS OBRA ARTISTICA</t>
  </si>
  <si>
    <t>DOCUMENTO DE IDENTIDAD</t>
  </si>
  <si>
    <t>ESCOLARIDAD ANTERIOR</t>
  </si>
  <si>
    <t>UNIVERSIDAD QUE OTORGA EL TÍTULO</t>
  </si>
  <si>
    <t>TITULO OTORGADO</t>
  </si>
  <si>
    <t>Acto de Convalidación
(Para títulos Univ.del Ext.)</t>
  </si>
  <si>
    <t>FECHA GRADUACIÓN</t>
  </si>
  <si>
    <t>JULIÁN GARZÓN BARRERO</t>
  </si>
  <si>
    <t>6- 29/08/2025</t>
  </si>
  <si>
    <t>TOTAL PUNTOS TÍTULOS</t>
  </si>
  <si>
    <t>Factores Salariales
Decreto 1279, artículo 12</t>
  </si>
  <si>
    <t xml:space="preserve">FECHA DE PUBLICACIÓN </t>
  </si>
  <si>
    <t xml:space="preserve">Res.No.13590
Ref. Expediente No. NC2019/0005187 </t>
  </si>
  <si>
    <t>ACTA Y FECHA CIARP</t>
  </si>
  <si>
    <t>NOMBRE DE LA PROUCCIÓN TÉCNICA</t>
  </si>
  <si>
    <t>TIPO DE 
PRODUCCIÓN</t>
  </si>
  <si>
    <t>AÑO DE
PUBLICACIÓN</t>
  </si>
  <si>
    <t>UNIVERSIDADES
PARTICIPANTES</t>
  </si>
  <si>
    <t>PUNTAJE ASIGNADO/
AUTOR</t>
  </si>
  <si>
    <t>Construcción de un colector cilíndrico parabólico para el aprovechamiento de la energía solar</t>
  </si>
  <si>
    <t>Adaptación Tecnológica</t>
  </si>
  <si>
    <t>CARLOS ANDRÉS CÁRDENAS VALENCIA</t>
  </si>
  <si>
    <t>Ciencias Básicas y Tecnológias</t>
  </si>
  <si>
    <t>PABLO ANDRÉS MUÑOZ GUTIÉRREZ</t>
  </si>
  <si>
    <t>DIEGO FERNANDO RAMÍREZ JIMÉNEZ</t>
  </si>
  <si>
    <t>TOTAL PUNTOS PRODUCCIÓN TÉCNICA</t>
  </si>
  <si>
    <r>
      <t xml:space="preserve">Eval.1= 4,5
Eval.2= 3,94782609
</t>
    </r>
    <r>
      <rPr>
        <b/>
        <u/>
        <sz val="9"/>
        <color theme="6" tint="-0.249977111117893"/>
        <rFont val="Arial"/>
        <family val="2"/>
      </rPr>
      <t>X=8,44782609/2=4,2239
≈4,2</t>
    </r>
  </si>
  <si>
    <r>
      <t xml:space="preserve">3 Autores
El calculo se realizó con base en la escala de calificación aprobada por el CIARP en el Acta No.6 de 2022 y con la escala de calificación (10) de la Res.00693 del 2004 de Minciencias.
El resultado de la evaluación (4,2 puntos), </t>
    </r>
    <r>
      <rPr>
        <b/>
        <sz val="9"/>
        <color theme="6" tint="-0.249977111117893"/>
        <rFont val="Arial"/>
        <family val="2"/>
      </rPr>
      <t>no cumple con el puntaje de calidad</t>
    </r>
    <r>
      <rPr>
        <sz val="9"/>
        <color theme="6" tint="-0.249977111117893"/>
        <rFont val="Arial"/>
        <family val="2"/>
      </rPr>
      <t xml:space="preserve"> que debe ser igual o superior al 60% (4,8 puntos) de la calificación máxima (8 puntos) para este producto académico, según lo acordado por el CIARP en el Acta 07 del 26/10/2016 como puntaje de calidad.</t>
    </r>
  </si>
  <si>
    <t>Identificación 
Libro/tomo/partida</t>
  </si>
  <si>
    <t>NOMBRE DEL SOFTWARE</t>
  </si>
  <si>
    <t>AÑO DE 
PUBLICACIÓN</t>
  </si>
  <si>
    <t>Documento de Identidad
Autor-Docente</t>
  </si>
  <si>
    <t>PUNTAJE EVALUADORES</t>
  </si>
  <si>
    <t>PUNTAJE ASIGNADO/AUTOR (Escala 0 a 15)</t>
  </si>
  <si>
    <t>13-101-333</t>
  </si>
  <si>
    <t>MMTOOL</t>
  </si>
  <si>
    <t xml:space="preserve"> WILLIAM JOSEPH GIRALDO OROZCO</t>
  </si>
  <si>
    <t>Ingeniería de Sistemas y
Computación</t>
  </si>
  <si>
    <t xml:space="preserve">Universidad del Quindío </t>
  </si>
  <si>
    <t>7- 29/10/2025</t>
  </si>
  <si>
    <t>3 Autores
Software de producción científica con generación de conocimiento</t>
  </si>
  <si>
    <t xml:space="preserve"> MARÍA LILI VILLEGAS RAMÍREZ</t>
  </si>
  <si>
    <t>ALEXANDRA RUIZ GAONA</t>
  </si>
  <si>
    <t>TOTAL PUNTOS SOFTWARE</t>
  </si>
  <si>
    <t>________________________________</t>
  </si>
  <si>
    <t>978-628-7699-94-6</t>
  </si>
  <si>
    <t>Artículo "Concepciones de los profesores sobre la enseñanza del uso sostenible del agua en educación media. El Paujil Caquetá, Amazonia Colombiana", Categoría B.
Los puntos se pagarán a la docente Ligia Janneth Molina R. al término de la comisión académica-administrativa como decana de la Facultad de Ciencias de la Educación.</t>
  </si>
  <si>
    <r>
      <t xml:space="preserve">Eval.1= 4,0 
Eval.2= 4,75
X= 4,375
</t>
    </r>
    <r>
      <rPr>
        <b/>
        <u/>
        <sz val="9"/>
        <color theme="6" tint="-0.499984740745262"/>
        <rFont val="Arial"/>
        <family val="2"/>
      </rPr>
      <t>X=4,375*4,0= 17,5</t>
    </r>
  </si>
  <si>
    <r>
      <rPr>
        <sz val="9"/>
        <color theme="6" tint="-0.499984740745262"/>
        <rFont val="Arial"/>
        <family val="2"/>
      </rPr>
      <t>Eval.1= 4,1
Eval.2= 4,37</t>
    </r>
    <r>
      <rPr>
        <b/>
        <sz val="9"/>
        <color theme="6" tint="-0.499984740745262"/>
        <rFont val="Arial"/>
        <family val="2"/>
      </rPr>
      <t xml:space="preserve">
</t>
    </r>
    <r>
      <rPr>
        <b/>
        <u/>
        <sz val="9"/>
        <color theme="6" tint="-0.499984740745262"/>
        <rFont val="Arial"/>
        <family val="2"/>
      </rPr>
      <t>X=4,235*3 = 12,705</t>
    </r>
    <r>
      <rPr>
        <b/>
        <sz val="9"/>
        <color theme="6" tint="-0.499984740745262"/>
        <rFont val="Arial"/>
        <family val="2"/>
      </rPr>
      <t xml:space="preserve">
</t>
    </r>
    <r>
      <rPr>
        <b/>
        <u/>
        <sz val="9"/>
        <color theme="6" tint="-0.499984740745262"/>
        <rFont val="Arial"/>
        <family val="2"/>
      </rPr>
      <t>≈12,7</t>
    </r>
  </si>
  <si>
    <t>Evaluación de escenarios de inundación mediante herramientas hidrodinámicas y geoespaciales: el caso de estudio del río Bugalagrande, Colombia</t>
  </si>
  <si>
    <t>Nacional</t>
  </si>
  <si>
    <t>Colombia</t>
  </si>
  <si>
    <t>1909-7735</t>
  </si>
  <si>
    <t>Ciencia e Ingeniería Neogranadina</t>
  </si>
  <si>
    <t>https://scienti.minciencias.gov.co/publindex/#/revistasPublindex/detalle?tipo=R&amp;idRevista=264</t>
  </si>
  <si>
    <t>Universidad Militar Nueva Granada</t>
  </si>
  <si>
    <t>Nancy Estela Sánchez Pineda</t>
  </si>
  <si>
    <t>Juan Carlos González Valencia</t>
  </si>
  <si>
    <t>Integración de la Competencia Comunicativa Intercultural en la didáctica de lenguas extranjeras en Escuela Nueva</t>
  </si>
  <si>
    <t>Nacional de rotación internacional</t>
  </si>
  <si>
    <t>Zona Próxima</t>
  </si>
  <si>
    <t>2145-9444</t>
  </si>
  <si>
    <t>Fundación Universidad del Norte</t>
  </si>
  <si>
    <t>https://scienti.minciencias.gov.co/publindex/#/revistasPublindex/detalle?tipo=R&amp;idRevista=882</t>
  </si>
  <si>
    <t>María Camila Restrepo Neme</t>
  </si>
  <si>
    <t>CRISTIAN CAMILO REYES GALEANO</t>
  </si>
  <si>
    <t>Licenciatura en Lenguas Modernas con énfasis en Inglés y Francés</t>
  </si>
  <si>
    <t>Impacto inflacionario poscovid en Colombia (2020-2023): factores y consecuencias</t>
  </si>
  <si>
    <t>Dictamen Libre</t>
  </si>
  <si>
    <t>2619-4244</t>
  </si>
  <si>
    <t>Universidad Libre de Colombia</t>
  </si>
  <si>
    <t>https://scienti.minciencias.gov.co/publindex/#/revistasPublindex/detalle?tipo=R&amp;idRevista=1044</t>
  </si>
  <si>
    <t>C</t>
  </si>
  <si>
    <t>ALEXANDER CASTRO DÍAZ</t>
  </si>
  <si>
    <t>Estrategia pedagógica: el aula invertida como innovación curricular en la formación de administradores financieros de la Universidad del Quindío, Colombia</t>
  </si>
  <si>
    <t xml:space="preserve">Sophia </t>
  </si>
  <si>
    <t>2346-0806</t>
  </si>
  <si>
    <t>https://scienti.minciencias.gov.co/publindex/#/revistasPublindex/detalle?tipo=R&amp;idRevista=1017</t>
  </si>
  <si>
    <t>Universidad La Gran Colombia Seccional Armenia</t>
  </si>
  <si>
    <t>Ivonne Caicedo González</t>
  </si>
  <si>
    <t>Multi-Output Gaussian Processes Applied to Modeling and Reducing Dimensionality of Data Transmitted in a Wireless Sensor Network</t>
  </si>
  <si>
    <t>Revista Facultad de Ingeniería</t>
  </si>
  <si>
    <t>Universidad Pedagógica y Tecnológica de Colombia</t>
  </si>
  <si>
    <t>2357-5328</t>
  </si>
  <si>
    <t>https://scienti.minciencias.gov.co/publindex/#/revistasPublindex/detalle?tipo=R&amp;idRevista=861</t>
  </si>
  <si>
    <t>PABLO ANDRÉS MUÑOZ GUTIERREZ</t>
  </si>
  <si>
    <t>José Aicardo Ortega Vela</t>
  </si>
  <si>
    <t>Hernán Darío Vargas Cardona</t>
  </si>
  <si>
    <t>La educación superior y el transito reflexivo hacia la realidad evaluativa</t>
  </si>
  <si>
    <t>JUAN CARLOS SÁNCHEZ MUÑOZ</t>
  </si>
  <si>
    <t>Eliana Marcela Suarez Cárdenas</t>
  </si>
  <si>
    <t>Jaime Aldana Diana Lucía</t>
  </si>
  <si>
    <t>Universidad de la Salle</t>
  </si>
  <si>
    <t>Doctor en Educación y Sociedad</t>
  </si>
  <si>
    <t>N/A</t>
  </si>
  <si>
    <t>Diversidad familiar y familias ensambladas: reflexiones para desafiar el modelo nuclear hegemónico</t>
  </si>
  <si>
    <t>El Ágora USB</t>
  </si>
  <si>
    <t>2665-3354</t>
  </si>
  <si>
    <t>https://scienti.minciencias.gov.co/publindex/#/revistasPublindex/detalle?tipo=R&amp;idRevista=510</t>
  </si>
  <si>
    <t>Universidad De San Buenaventura</t>
  </si>
  <si>
    <t>ANA MARÍA GIL RÍOS</t>
  </si>
  <si>
    <t>Total puntos Productividad académica</t>
  </si>
  <si>
    <t>BERLY ROMAN VALENCIA</t>
  </si>
  <si>
    <t>Diseño de estrategias participativas para el desarrollo territorial en entidades de salud Caldas y Quindío / Design of participatory strategies for territorial development in health entities Caldas and Quindío</t>
  </si>
  <si>
    <t>Ricardo Antonio Escobar</t>
  </si>
  <si>
    <t>2539-0279</t>
  </si>
  <si>
    <t>Entramado</t>
  </si>
  <si>
    <t>https://scienti.minciencias.gov.co/publindex/#/revistasPublindex/detalle?tipo=R&amp;idRevista=126</t>
  </si>
  <si>
    <t>MARÍA BEATRIZ ESCOBAR ESCOBAR</t>
  </si>
  <si>
    <t>IVONNE CAICEDO GONZALEZ</t>
  </si>
  <si>
    <t xml:space="preserve">Administración Financiera </t>
  </si>
  <si>
    <t>CLAUDIA CONSTANZA CABAL CRUZ</t>
  </si>
  <si>
    <t>Acta. No.01
del 17/02/2026</t>
  </si>
  <si>
    <t>17 de febrero</t>
  </si>
  <si>
    <t>Inició comisión académico-admon el 16/10/2024 como Director del Programa de Lic. En Matemáticas. Terminó comisión el 19/12/2025</t>
  </si>
  <si>
    <t>Computational Thinking in the University Context: A Literature Review of Assessment Instruments</t>
  </si>
  <si>
    <t>Angela María Muñoz Muñoz</t>
  </si>
  <si>
    <t>Milena Corrales Álvarez</t>
  </si>
  <si>
    <t>2256-5337</t>
  </si>
  <si>
    <t>TecnoLógicas</t>
  </si>
  <si>
    <t>https://scienti.minciencias.gov.co/publindex/#/revistasPublindex/detalle?tipo=R&amp;idRevista=605</t>
  </si>
  <si>
    <t>Instituto Tecnológico Metropolitano de Medellín</t>
  </si>
  <si>
    <t>Escuela de Administración Publica ESAP</t>
  </si>
  <si>
    <t>SERGIO AUGUSTO CARDONA TORRES</t>
  </si>
  <si>
    <t>OFICINA DE ASUNTOS PROFESORALES</t>
  </si>
  <si>
    <t>INFORME EXPERIENCIA CALIFICADA DOCENTES DE CARRERA - 2025</t>
  </si>
  <si>
    <t>DOC. DE IDENTIFICACIÓN</t>
  </si>
  <si>
    <t>NOMBRE</t>
  </si>
  <si>
    <t>FECHA DE INGRESO</t>
  </si>
  <si>
    <t>NIVEL DE FORMACIÓN</t>
  </si>
  <si>
    <t>RESULTADO EVALUACIÓN DOCENTE</t>
  </si>
  <si>
    <t>FECHA DE LA ULTIMA EVALUACIÓN</t>
  </si>
  <si>
    <t>PUNTOS POR EXPERIENCIA CALIFICADA</t>
  </si>
  <si>
    <t>ESTADO</t>
  </si>
  <si>
    <t>II/2020</t>
  </si>
  <si>
    <t>Activo</t>
  </si>
  <si>
    <t>Comision de estudios aprobada en sesión del Consejo Superior, resolución No. 117 del 19 de agosto de 2022 . Del 27 de enero de 2023 hasta 26 de enero de 2027.</t>
  </si>
  <si>
    <t>II/2023</t>
  </si>
  <si>
    <t>II/2025</t>
  </si>
  <si>
    <t>Inició comisión académico-admon el 01/06/2023 como Directora del Programa de Administración de Negocios, terminó comisión el 20/06/2025</t>
  </si>
  <si>
    <t xml:space="preserve">GUZMAN DIAZ BEATRIZ ELENA  </t>
  </si>
  <si>
    <t>I/2024</t>
  </si>
  <si>
    <t>I/2023</t>
  </si>
  <si>
    <t xml:space="preserve">PARRA HERNANDEZ RAMIRO </t>
  </si>
  <si>
    <t xml:space="preserve">TORRES QUINTERO LAURA LICETH </t>
  </si>
  <si>
    <t xml:space="preserve">ARRUBLA FRANCO MARIBETH </t>
  </si>
  <si>
    <t>Academico-Administrativo</t>
  </si>
  <si>
    <t xml:space="preserve">HOYOS WALTEROS HERNAN </t>
  </si>
  <si>
    <t xml:space="preserve">ROMÁN VALENCIA BERLY </t>
  </si>
  <si>
    <t xml:space="preserve">CASTAÑEDA PATIÑO JUAN CARLOS </t>
  </si>
  <si>
    <t>II/2024</t>
  </si>
  <si>
    <t xml:space="preserve">GUTIERREZ  MORENO MILDRED EUGENIA </t>
  </si>
  <si>
    <t xml:space="preserve">MARTÍNEZ PLAZAS MARIO ANDRÉS </t>
  </si>
  <si>
    <t>I/2025</t>
  </si>
  <si>
    <t xml:space="preserve">AGUIRRE OBANDO OSCAR ALEXANDER </t>
  </si>
  <si>
    <t xml:space="preserve">GARCÍA CARDENAS DELLY ROCIO </t>
  </si>
  <si>
    <t xml:space="preserve">GARCÍA MERCHÁN VICTOR HUGO </t>
  </si>
  <si>
    <t xml:space="preserve">GIRALDO GARCÍA ALEJANDRA MARÍA </t>
  </si>
  <si>
    <t>Inició comisión académico-admon el 02/05/2023 como Vicerrectora de Extensión y Desarrollo Social</t>
  </si>
  <si>
    <t xml:space="preserve">GÓMEZ MARÍN GERMÁN DARÍO </t>
  </si>
  <si>
    <t xml:space="preserve">LORA SUÁREZ FABIANA MARÍA </t>
  </si>
  <si>
    <t xml:space="preserve">ROMÁN VALENCIA CÉSAR </t>
  </si>
  <si>
    <t xml:space="preserve">SEPÚLVEDA NIETO MARÍA DEL PILAR </t>
  </si>
  <si>
    <t xml:space="preserve">Ciencia de la Información y Documentación, Bibliotecología y Archivística </t>
  </si>
  <si>
    <t xml:space="preserve">CASTRO BENAVIDES LINA MARÍA </t>
  </si>
  <si>
    <t xml:space="preserve">RAMÍREZ AGUDELO ANGÉLICA MARÍA </t>
  </si>
  <si>
    <t xml:space="preserve">DÍAZ ARENAS PEDRO FELIPE </t>
  </si>
  <si>
    <t xml:space="preserve">GIRALDO MARÍN LUCERO </t>
  </si>
  <si>
    <t>II/2021</t>
  </si>
  <si>
    <t>Docente año sabático inicia 20/01/2025 y finaliza 19/01/2026</t>
  </si>
  <si>
    <t xml:space="preserve">GRANADOS MORENO WILSON HORACIO </t>
  </si>
  <si>
    <t xml:space="preserve">LEAL LARRARTE SANDRA ADRIANA </t>
  </si>
  <si>
    <t xml:space="preserve">LOZANO BOTACHE JORGE PRUDENCIO </t>
  </si>
  <si>
    <t>I/2022</t>
  </si>
  <si>
    <t xml:space="preserve">MEJÍA ESCOBAR BIBIANA MAGALY </t>
  </si>
  <si>
    <t>II/2022</t>
  </si>
  <si>
    <t xml:space="preserve">URREA GIRALDO JORGE EDUARDO </t>
  </si>
  <si>
    <t xml:space="preserve">VEJARANO BOLÍVAR RICARDO ALONSO </t>
  </si>
  <si>
    <t xml:space="preserve">ARANGO MEDINA DEICY </t>
  </si>
  <si>
    <t xml:space="preserve">BOTERO VILLA JUAN JOSÉ </t>
  </si>
  <si>
    <t xml:space="preserve">CABAL CRUZ CLAUDIA CONSTANZA </t>
  </si>
  <si>
    <t xml:space="preserve">CEBALLOS RINCÓN OLGA INÉS </t>
  </si>
  <si>
    <t xml:space="preserve">DíAZ CRUZ MARIA CONSTANZA </t>
  </si>
  <si>
    <t xml:space="preserve">DONNEYS BELTRAN OMAR ALBERTO </t>
  </si>
  <si>
    <t>FAJARDO CALDERON CONSTANZA LORETH</t>
  </si>
  <si>
    <t xml:space="preserve">GIRALDO DE ROJAS MARTHA CECILIA </t>
  </si>
  <si>
    <t>Inició comisión académico-admon el 01/06/2023 como Directora del Programa de Contaduría Pública, terminó comisión el 20/06/2025</t>
  </si>
  <si>
    <t xml:space="preserve">LÓPEZ CASTAÑEDA LINA MARÍA </t>
  </si>
  <si>
    <t xml:space="preserve">MEJÍA CASTELLANOS LUZ AMPARO </t>
  </si>
  <si>
    <t xml:space="preserve">MEJÍA SOTO EUTIMIO </t>
  </si>
  <si>
    <t xml:space="preserve">RAMÍREZ LOZANO JAMES </t>
  </si>
  <si>
    <t xml:space="preserve">RAMÍREZ OSORIO JORGE HUMBERTO </t>
  </si>
  <si>
    <t xml:space="preserve">ROMERO RESTREPO MIRIAM </t>
  </si>
  <si>
    <t xml:space="preserve">SIERRA PRIETO REINALDO </t>
  </si>
  <si>
    <t>Inició comisión académico-admon el 01/06/2023 como Decano de la Facultad de Ciencias Economicas</t>
  </si>
  <si>
    <t xml:space="preserve">TARAPUÉZ CHAMORRO EDWIN IGNACIO </t>
  </si>
  <si>
    <t xml:space="preserve">VÉLEZ RAMÍREZ RUBÉN ANTONIO </t>
  </si>
  <si>
    <t>ARISTIZABAL TORO ANDRÉS FELIPE</t>
  </si>
  <si>
    <t xml:space="preserve">CASTRO DÍAZ ALEXANDER </t>
  </si>
  <si>
    <t xml:space="preserve">CORREA VALENCIA CARLOS IVÁN </t>
  </si>
  <si>
    <t xml:space="preserve">FLOREZ LAISECA ADRIANA MARÍA </t>
  </si>
  <si>
    <t xml:space="preserve">RESTREPO PATIÑO MEDARDO DE JESÚS </t>
  </si>
  <si>
    <t xml:space="preserve">TRUJILLO OSORIO CATALINA </t>
  </si>
  <si>
    <t xml:space="preserve">CORREA SUÁREZ GLORIA MARCELA </t>
  </si>
  <si>
    <t xml:space="preserve">CORTÉS GALLEGO MÓNICA MARÍA </t>
  </si>
  <si>
    <t xml:space="preserve">ESCOBAR ESCOBAR MARIA BEATRIZ </t>
  </si>
  <si>
    <t xml:space="preserve">FERNÁNDEZ RINCÓN CARMEN AYDÉ </t>
  </si>
  <si>
    <t xml:space="preserve">HENAO BURITICÁ ADIELA </t>
  </si>
  <si>
    <t xml:space="preserve">LONDOÑO BURITICÁ DIANA PATRICIA </t>
  </si>
  <si>
    <t>Comision de estudios Aprobada en sesión del Consejo Superior, resolución No. 126 del 23 de marzo de 2023. Del 23 de febrero de 2023 hasta 22 de febrero de 2027.</t>
  </si>
  <si>
    <t xml:space="preserve">MONDRAGÓN SÁNCHEZ EDNA JOHANA  </t>
  </si>
  <si>
    <t xml:space="preserve">PÉREZ SAAVEDRA ANA PATRICIA </t>
  </si>
  <si>
    <t>Comision de estudios Aprobada en sesión del Consejo Superior, resolución No.117 del 19 de agosto de 2022 . Del 27 de enero de 2023 hasta 26 de enero de 2027.</t>
  </si>
  <si>
    <t xml:space="preserve">MOLINA ZAPATA JORGE ELIECER </t>
  </si>
  <si>
    <t xml:space="preserve">OCAMPO SEPÚLVEDA GABRIEL </t>
  </si>
  <si>
    <t xml:space="preserve">POSADA RAMÍREZ JORGE GREGORIO </t>
  </si>
  <si>
    <t xml:space="preserve">SANCHEZ JOSÉ REINEL </t>
  </si>
  <si>
    <t xml:space="preserve">VÉLEZ YSIS </t>
  </si>
  <si>
    <t xml:space="preserve">Activo </t>
  </si>
  <si>
    <t>Comisión de estudios aprobada en sesión del Consejo Superior, resolución No.138 del 23 de noviembre de 2023. Del 15 de febrero de 2024 hasta 14 de agosto de 2026.</t>
  </si>
  <si>
    <t xml:space="preserve">BASTO GONZÁLEZ VÍCTOR SAUL </t>
  </si>
  <si>
    <t xml:space="preserve">CARMONA TABARES PAULO CESAR </t>
  </si>
  <si>
    <t xml:space="preserve">CASTILLO CHAMORRO JOSE HUMBERTO </t>
  </si>
  <si>
    <t xml:space="preserve">GÓMEZ GONZÁLEZ EDGAR ARTURO </t>
  </si>
  <si>
    <t>HOYOS RINCÓN ISABEL CRISTINA</t>
  </si>
  <si>
    <t xml:space="preserve">MOSQUERA MOSQUERA JULIO CÉSAR </t>
  </si>
  <si>
    <t xml:space="preserve">GIRALDO ZULUAGA GLORIA AMPARO </t>
  </si>
  <si>
    <t xml:space="preserve">GÓMEZ SANTOS CÉSAR AUGUSTO </t>
  </si>
  <si>
    <t xml:space="preserve">LÓPEZ CARDOZO LILIA INÉS </t>
  </si>
  <si>
    <t xml:space="preserve">ARBOLEDA AUDRITO CARLOS JULIO </t>
  </si>
  <si>
    <t xml:space="preserve">CASTRO BENAVIDES ALBA LUCÍA </t>
  </si>
  <si>
    <t xml:space="preserve">CUARTAS VARÓN LUISA FERNANDA </t>
  </si>
  <si>
    <t>GARCÍA LEAL JUAN CARLOS</t>
  </si>
  <si>
    <t xml:space="preserve">GARCÍA OCAMPO CARLOS ARTURO  </t>
  </si>
  <si>
    <t xml:space="preserve">GARCÍA REINOSO PEDRO LEÓN </t>
  </si>
  <si>
    <t xml:space="preserve">GUZMÁN MELENDEZ MARIA ROSA </t>
  </si>
  <si>
    <t xml:space="preserve">LOZANO SANDOVAL GABRIEL </t>
  </si>
  <si>
    <t xml:space="preserve">MONSALVE DURANGO ELKIN ANIBAL </t>
  </si>
  <si>
    <t>Comision de estudios Aprobada en sesión del Consejo Superior, resolución No. 113 del 14 de junio de 2022. Del 13/07/2022 hasta 30/06/2023. Se prorroga comisión del 01/01/2024 al 12/07/2025, del 13/07/2025 al 12/01/2026 y del 13/01/2026 al 12/07/2026.</t>
  </si>
  <si>
    <t xml:space="preserve">POLANIA OBANDO LUIS FERNANDO </t>
  </si>
  <si>
    <t xml:space="preserve">SALAZAR SALAZAR ORLANDO </t>
  </si>
  <si>
    <t xml:space="preserve">VALENCIA MENA WILLIAM </t>
  </si>
  <si>
    <t xml:space="preserve">VALENZUELA BOTERO CAROLINA </t>
  </si>
  <si>
    <t xml:space="preserve">AGUDELO LAVERDE LINA MARCELA </t>
  </si>
  <si>
    <t>Post-Doctorado</t>
  </si>
  <si>
    <t xml:space="preserve">LUCAS AGUIRRE JUAN CARLOS </t>
  </si>
  <si>
    <t>MARÍN ARANGO ZAIRA TATIANA DEL PILAR</t>
  </si>
  <si>
    <t>PINZÓN FANDINO MAGDA IVONNE</t>
  </si>
  <si>
    <t xml:space="preserve">Ingeniería de Sistemas y Computación </t>
  </si>
  <si>
    <t xml:space="preserve">CANDELA URIBE CHIRISTIAN ANDRÉS </t>
  </si>
  <si>
    <t xml:space="preserve">CARDONA TORRES SERGIO AUGUSTO </t>
  </si>
  <si>
    <t xml:space="preserve">CASTRO ROJAS LUIS FERNANDO </t>
  </si>
  <si>
    <t xml:space="preserve">ESPITIA PEÑA ESPERANZA </t>
  </si>
  <si>
    <t xml:space="preserve">GIRALDO OROZCO WILLIAM JOSEP </t>
  </si>
  <si>
    <t xml:space="preserve">GIRALDO VELÁSQUEZ FABER DANILO </t>
  </si>
  <si>
    <t xml:space="preserve">GÓMEZ MONTOYA CARLOS EDUARDO </t>
  </si>
  <si>
    <t xml:space="preserve">GUTIÉRREZ POSADA JULIAN ESTEBAN </t>
  </si>
  <si>
    <t xml:space="preserve">HERRERA MORALES JORGE ORLANDO </t>
  </si>
  <si>
    <t xml:space="preserve">PULGARÍN GIRALDO ROBINSON </t>
  </si>
  <si>
    <t>Inició comisión académico-admon el 01/06/2023 como Director del Programa de Ingeniería de Sistemas</t>
  </si>
  <si>
    <t xml:space="preserve">PULGARÍN GIRALDO WILLIAM </t>
  </si>
  <si>
    <t xml:space="preserve">ROMERO CUERO EDWIN </t>
  </si>
  <si>
    <t xml:space="preserve">RUIZ GAONA ALEXANDRA </t>
  </si>
  <si>
    <t xml:space="preserve">SEPÚLVEDA RODRÍGUEZ LUIS EDUARDO </t>
  </si>
  <si>
    <t xml:space="preserve">VILLEGAS RAMÍREZ MARÍA LILI </t>
  </si>
  <si>
    <t xml:space="preserve">ALDANA GUTIÉRREZ JORGE ALEJANDRO </t>
  </si>
  <si>
    <t xml:space="preserve">ASTAIZA HOYOS EVELIO </t>
  </si>
  <si>
    <t xml:space="preserve">BERMÚDEZ OROZCO HECTOR FABIO </t>
  </si>
  <si>
    <t xml:space="preserve">CARDONA ARISTIZABAL JAIBER EVELIO </t>
  </si>
  <si>
    <t xml:space="preserve">IBARGUEN OCAMPO FRANCISCO JAVIER </t>
  </si>
  <si>
    <t xml:space="preserve">JARAMILLO PATIÑO DIEGO FERNANDO </t>
  </si>
  <si>
    <t xml:space="preserve">JIMÉNEZ TRUJILLO WILMER DIEGO </t>
  </si>
  <si>
    <t xml:space="preserve">LÓPEZ PARRADO ALEXANDER </t>
  </si>
  <si>
    <t xml:space="preserve">MARIN HURTADO JORGE IVÁN  </t>
  </si>
  <si>
    <t>NAVARRO PÉREZ ALVARO ANDRÉS</t>
  </si>
  <si>
    <t>Comision de estudios Aprobada en sesión del Consejo Superior, resolución No. 117 del 19 de agosto de 2022. Del 20/02/2023 hasta 09/02/2027</t>
  </si>
  <si>
    <t xml:space="preserve">VERA TASAMA ALEXANDER </t>
  </si>
  <si>
    <t xml:space="preserve">Ingeniería Topográfica y Geomática </t>
  </si>
  <si>
    <t xml:space="preserve">DUQUE ARANGO JHON JAIRO  </t>
  </si>
  <si>
    <t xml:space="preserve">GARZÓN BARRERO JULIÁN </t>
  </si>
  <si>
    <t xml:space="preserve">JIMENEZ CLEVES GONZALO </t>
  </si>
  <si>
    <t xml:space="preserve">VILA ORTEGA JOSE JOAQUIN </t>
  </si>
  <si>
    <t xml:space="preserve">VILLALOBOS NIETO GUSTAVO </t>
  </si>
  <si>
    <t>Instituto Interdisciplinario de la Ciencia</t>
  </si>
  <si>
    <t xml:space="preserve">TIRADO MEJIA LILIANA DEL SOCORRO </t>
  </si>
  <si>
    <t>BUSTAMANTE TORO CÉSAR AUGUSTO</t>
  </si>
  <si>
    <t xml:space="preserve">CARDONA OLARTE PEDRO PABLO </t>
  </si>
  <si>
    <t xml:space="preserve">CHACÓN RAMÍREZ CARLOS ALBERTO </t>
  </si>
  <si>
    <t xml:space="preserve">MOLANO NIÑO ALBA CAROLINA </t>
  </si>
  <si>
    <t xml:space="preserve">MOLINA RICO LIGIA JANNETH </t>
  </si>
  <si>
    <t>Inició comisión académico-admon el 01/06/2023 como Decana de la Facultad de Ciencias de la Educación</t>
  </si>
  <si>
    <t xml:space="preserve">SALAZAR SALAZAR MARLENY  </t>
  </si>
  <si>
    <t>SUAREZ ROMÁN ROCIO STELLA</t>
  </si>
  <si>
    <t xml:space="preserve">AYALA ZULUAGA JOSE ENVER </t>
  </si>
  <si>
    <t xml:space="preserve">CARDONA PATIÑO JHOJAN </t>
  </si>
  <si>
    <t xml:space="preserve">SÁNCHEZ MUÑOZ JUAN CARLOS  </t>
  </si>
  <si>
    <t>Inició comisión académico-admon el 24/07/2023 como Director del Programa de Lic. En Educación Física, terminó comisión el 20/06/2025</t>
  </si>
  <si>
    <t xml:space="preserve">SÁNCHEZ MUÑOZ OSCAR EDUARDO </t>
  </si>
  <si>
    <t xml:space="preserve">TABARES RAMÍREZ CARLOS ANDRÉS </t>
  </si>
  <si>
    <t>Licenciatura Educación Infantil</t>
  </si>
  <si>
    <t xml:space="preserve">BUSTAMANTE GUTIÉRREZ CARLOS ALFONSO </t>
  </si>
  <si>
    <t xml:space="preserve">JIMÉNEZ ROJAS ANGELA MARÍA </t>
  </si>
  <si>
    <t xml:space="preserve">MARIN RIOS LUIS FERNANDO </t>
  </si>
  <si>
    <t xml:space="preserve">MORALES OSORIO CARLOS ALVEIRO </t>
  </si>
  <si>
    <t xml:space="preserve">SALAZAR ARBELÁEZ CARMEN ALICIA </t>
  </si>
  <si>
    <t>Licenciatura en Lenguas Modernas con  Énfasis en Inglés y Francés</t>
  </si>
  <si>
    <t xml:space="preserve">CALDERÓN BENAVIDES JHON JAIRO </t>
  </si>
  <si>
    <t>Comisión de estudios aprobada en sesión del Consejo Superior, resolución No.137 del 23 de noviembre de 2023. Del 28 de febrero de 2024 hasta 27 de agosto de 2026.</t>
  </si>
  <si>
    <t xml:space="preserve">HERNÁNDEZ MOLINA MAGDA YAZMÍN </t>
  </si>
  <si>
    <t xml:space="preserve">HERRERA PINEDA JORGE HERNÁN </t>
  </si>
  <si>
    <t>MONTOYA GOMEZ OSCAR HERNÁN</t>
  </si>
  <si>
    <t xml:space="preserve">MORENO SERNA LINA MARÍA </t>
  </si>
  <si>
    <t xml:space="preserve">REYES GALEANO CRISTIAN CAMILO </t>
  </si>
  <si>
    <t xml:space="preserve">SERNA RESTREPO JHON ALEXANDER </t>
  </si>
  <si>
    <t xml:space="preserve">VALENCIA CASTRILLÓN MARTHA LUZ </t>
  </si>
  <si>
    <t xml:space="preserve">VELA SAAVEDRA JHONATAN </t>
  </si>
  <si>
    <t>Licenciatura en Literatura y 
Lengua Castellana</t>
  </si>
  <si>
    <t xml:space="preserve">CANO BETANCUR ÁLVARO EDUARDO </t>
  </si>
  <si>
    <t xml:space="preserve">CARO LOPERA MIGUEL ÁNGEL </t>
  </si>
  <si>
    <t xml:space="preserve">RODRÍGUEZ LEÓN DANIEL MAURICIO </t>
  </si>
  <si>
    <t xml:space="preserve">VALENCIA LEGUIZAMÓN LINA MARIANA </t>
  </si>
  <si>
    <t xml:space="preserve">ZAMBRANO VALENCIA JUAN DAVID </t>
  </si>
  <si>
    <t>Licenciatura en Matemática</t>
  </si>
  <si>
    <t>ACOSTA MINOLI CÉSAR AUGUSTO</t>
  </si>
  <si>
    <t xml:space="preserve">ALDANA BERMÚDEZ ELIECER </t>
  </si>
  <si>
    <t xml:space="preserve">ÁLVAREZ MEJIA DARÍO </t>
  </si>
  <si>
    <t xml:space="preserve">CARMONA SUAREZ EDGAR JAVIER </t>
  </si>
  <si>
    <t>Inició comisión académico-admon el 16/10/2024 como Director del Programa de Lic. En Matemáticas, terminó comisión el 19/12/2025</t>
  </si>
  <si>
    <t>GARCÍA GONZÁLEZ MARIA DOLLY</t>
  </si>
  <si>
    <t xml:space="preserve">GARCÍA USUGA JORGE MARIO </t>
  </si>
  <si>
    <t xml:space="preserve">GUTIÉRREZ ZULUAGA HEILLER </t>
  </si>
  <si>
    <t xml:space="preserve">Comisión de estudios aprobada en sesión del Consejo Superior, resolución No. 117 del 19 de agosto de 2022. Del 19/08/2022 hasta 18/02/2025. Se prorrogó la comisión de estudios por 12 meses, mediante Resolución del Consejo Superior No.161 del 17 de diciembre del 2024. Del 19/02/2025 hasta 18/02/2026.  </t>
  </si>
  <si>
    <t>MÉNDEZ PARRA ROSA MARÍA</t>
  </si>
  <si>
    <t xml:space="preserve">SALCEDO ECHEVERRY GLADYS ELENA </t>
  </si>
  <si>
    <t>Medicina - M.T.</t>
  </si>
  <si>
    <t>BERRÍO MUÑOZ JOAQUÍN ELIER</t>
  </si>
  <si>
    <t xml:space="preserve">Medicina </t>
  </si>
  <si>
    <t>COLONIA GUTIÉRREZ OSCAR ALBERTO</t>
  </si>
  <si>
    <t>DUQUE VALENCIA JORGE LUIS</t>
  </si>
  <si>
    <t>GAVIRIA RINCÓN GERMÁN</t>
  </si>
  <si>
    <t>GÓMEZ MARÍN JORGE ENRIQUE</t>
  </si>
  <si>
    <t>GONZÁLEZ DE S. MARIA MERCEDES</t>
  </si>
  <si>
    <t>Inició comisión académico-admon el 01/06/2023 como Decana de la Facultad de Ciencias de la Salud</t>
  </si>
  <si>
    <t>LANDÁZURI PATRICIA</t>
  </si>
  <si>
    <t>MURILLO WILLS HÉCTOR</t>
  </si>
  <si>
    <t>4,63</t>
  </si>
  <si>
    <t xml:space="preserve">OROZCO GONZÁLEZ  RICHARD JAMES </t>
  </si>
  <si>
    <t>CUENU CABEZAS FERNANDO</t>
  </si>
  <si>
    <t>MONTOYA  LÓPEZ JAIRO</t>
  </si>
  <si>
    <t>RIOS VASQUEZ EUNICE</t>
  </si>
  <si>
    <t>Comision de estudios Aprobada en sesión del Consejo Superior, resolución No. 117 del 19 de agosto de 2022. Del 01/09/2022 hasta 31/08/2026.</t>
  </si>
  <si>
    <t>GOMEZ YEPES MILENA ELIZABETH</t>
  </si>
  <si>
    <t>RENDON GARCIA OLGA LUCIA</t>
  </si>
  <si>
    <t>GARCÍA ARIAS RAMIRO</t>
  </si>
  <si>
    <t>MUÑOZ GUTIERREZ PABLO ANDRES</t>
  </si>
  <si>
    <t>PADILLA BEJARANO JOSE BESTIER</t>
  </si>
  <si>
    <t>II/2013</t>
  </si>
  <si>
    <t>CASTRO BENAVIDES LUZ ADRIANA</t>
  </si>
  <si>
    <t>CARDONA HERNÁNDEZ LEIDY CAROLINA</t>
  </si>
  <si>
    <t>MARTÍNEZ GONZÁLEZ LINA MARÍA</t>
  </si>
  <si>
    <t>PARDO SANTAMARÍA RUBEN DARÍO</t>
  </si>
  <si>
    <t xml:space="preserve">QUINTANA URREA LEONARDO IVAN </t>
  </si>
  <si>
    <t>SUAREZ ARIAS ALBA LEONILDE</t>
  </si>
  <si>
    <t xml:space="preserve">VILLA RAMÍREZ RIGOBERTO </t>
  </si>
  <si>
    <t>Cargo Academico-Administrativo</t>
  </si>
  <si>
    <t>La información de los cargos académico administrativos fue suministrada por la Dirección de Gestión Humana a través del Memorando General No.2026-IM-1041 del 29 de enero de 2026.</t>
  </si>
  <si>
    <t xml:space="preserve">Comisión Estudios </t>
  </si>
  <si>
    <t>La información de los docentes en comisión de estudio fue suministrada por la Vicerrectoría Académica a través del Memorando General No.2026-IM749 del 26 de enero de 2026.</t>
  </si>
  <si>
    <t>Año Sabático</t>
  </si>
  <si>
    <t>La información de los docentes en año sabático fue suministrada por la Vicerrectoría Académica a través del Memorando General No.2025-IM-1709 del 14 de febrero de 2025 y No.2026-IM749 del 26 de enero de 2026.</t>
  </si>
  <si>
    <r>
      <rPr>
        <b/>
        <sz val="10"/>
        <color theme="1"/>
        <rFont val="Arial Narrow"/>
        <family val="2"/>
      </rPr>
      <t>Nota</t>
    </r>
    <r>
      <rPr>
        <sz val="10"/>
        <color theme="1"/>
        <rFont val="Arial Narrow"/>
        <family val="2"/>
      </rPr>
      <t>: El reconocimiento de puntos por experiencia calificada se realizó con base en lo dispuesto en el numeral II, artículo 18 del Decreto 1279 de 2002 y en el numeral 6, artículo tercero del A.C.S No.012 de 2009.</t>
    </r>
  </si>
  <si>
    <t>_____________________________________</t>
  </si>
  <si>
    <t xml:space="preserve">OFICINA DE ASUNTOS PROFESORALES </t>
  </si>
  <si>
    <t>DESEMPEÑO DESTACADO - DOCENTES DE CARRERA CATEGORÍA AUXILIAR - 2025</t>
  </si>
  <si>
    <t>PUNTOS POR DESEMPEÑO DESTACADO</t>
  </si>
  <si>
    <t>CIERRE 4,68</t>
  </si>
  <si>
    <r>
      <rPr>
        <b/>
        <sz val="10"/>
        <color theme="1"/>
        <rFont val="Arial Narrow"/>
        <family val="2"/>
      </rPr>
      <t>Nota</t>
    </r>
    <r>
      <rPr>
        <sz val="10"/>
        <color theme="1"/>
        <rFont val="Arial Narrow"/>
        <family val="2"/>
      </rPr>
      <t>: El reconocimiento de los puntos por desempeño destacado docente en la categoría Auxiliar, se realizó con base en lo dispuesto en el Decreto 1279 de 2002, artículo 18, numeral I y en el A.C.S No.012 de 2009, artículo tercero.</t>
    </r>
  </si>
  <si>
    <t>DESEMPEÑO DESTACADO - DOCENTES DE CARRERA CATEGORÍA ASISTENTE - 2025</t>
  </si>
  <si>
    <t>Ascenso a categoría Asistente a partir del 22/04/2025 (DDD Auxliar 111/365*2= 0,6 y DDD Asistente 254/365*3= 2,1 → Total puntos=2,7)</t>
  </si>
  <si>
    <t>Ascenso a categoría Asistente a partir del 22/04/2025 (DDD Auxliar 321/365*2= 1,8 y DDD Asistente 44/365*3= 0,4 → Total puntos=2,2)</t>
  </si>
  <si>
    <t>CIERRE 4,92</t>
  </si>
  <si>
    <r>
      <rPr>
        <b/>
        <sz val="10"/>
        <color theme="1"/>
        <rFont val="Arial Narrow"/>
        <family val="2"/>
      </rPr>
      <t>Nota</t>
    </r>
    <r>
      <rPr>
        <sz val="10"/>
        <color theme="1"/>
        <rFont val="Arial Narrow"/>
        <family val="2"/>
      </rPr>
      <t>: El reconocimiento de los puntos por desempeño destacado docente en la categoría Asistente, se realizó con base en lo dispuesto en el Decreto 1279 de 2002, artículo 18, numeral I y en el A.C.S No.012 de 2009, artículo tercero.</t>
    </r>
  </si>
  <si>
    <t>______________________________</t>
  </si>
  <si>
    <t>DESEMPEÑO DESTACADO - DOCENTES DE CARRERA CATEGORÍA ASOCIADO - 2025</t>
  </si>
  <si>
    <t>Ascenso a categoría Asociado a partir del 30/01/2025 (DDD Asistente 29/365*3= 0,2 y DDD Asociado 336/365*4= 3,7 → Total puntos= 3,9)</t>
  </si>
  <si>
    <t>Ascenso a categoría Asociado a partir del 22/04/2025 (DDD Asistente 111/365*3= 0,9 y DDD Asociado 254/365*4= 2,8 → Total puntos= 3,7)</t>
  </si>
  <si>
    <t>Ascenso a categoría Asociado a partir del 18/11/2025 (DDD Asistente 321/365*3= 2,6 y DDD Asociado 44/365*4= 0,5 → Total puntos= 3,1)</t>
  </si>
  <si>
    <r>
      <rPr>
        <b/>
        <sz val="10"/>
        <color theme="1"/>
        <rFont val="Arial Narrow"/>
        <family val="2"/>
      </rPr>
      <t>Nota:</t>
    </r>
    <r>
      <rPr>
        <sz val="10"/>
        <color theme="1"/>
        <rFont val="Arial Narrow"/>
        <family val="2"/>
      </rPr>
      <t xml:space="preserve"> El reconocimiento de los puntos por desempeño destacado docente en la categoría Asociado, se realizó con base en lo dispuesto en el Decreto 1279 de 2002, artículo 18, numeral I y en el A.C.S No.012 de 2009, artículo tercero.</t>
    </r>
  </si>
  <si>
    <t>Jefe Oficina Asuntos Profesorales y Secretaria Ejectuiva CIARP</t>
  </si>
  <si>
    <t>DESEMPEÑO DESTACADO - DOCENTES DE CARRERA CATEGORÍA TITULAR - 2025</t>
  </si>
  <si>
    <t>Ascenso a categoría Titular a partir del 30/01/2025 (DDD Asociado 29/365*4= 0,3 y DDD Titular 336/365*5= 4,6 → Total puntos= 4,9)</t>
  </si>
  <si>
    <t>Ascenso a categoría Titular a partir del 18/11/2025 (DDD Asociado 321/365*4= 3,5 y DDD Titular 44/365*5= 0,6 → Total puntos= 4,1)</t>
  </si>
  <si>
    <t>Inició comisión académico-admon el 24/07/2023 como Director del Programa de Lic. En Educación Física, terminó comisión el 20/06/2025 (DAA 194/365*5= 2,65→ Total puntos= 2,7)</t>
  </si>
  <si>
    <t>CIERRE 4,90</t>
  </si>
  <si>
    <r>
      <rPr>
        <b/>
        <sz val="10"/>
        <color theme="1"/>
        <rFont val="Arial Narrow"/>
        <family val="2"/>
      </rPr>
      <t>Nota:</t>
    </r>
    <r>
      <rPr>
        <sz val="10"/>
        <color theme="1"/>
        <rFont val="Arial Narrow"/>
        <family val="2"/>
      </rPr>
      <t xml:space="preserve"> El reconocimiento de los puntos por desempeño destacado docente en la categoría Titular, se realizó con base en lo dispuesto en el Decreto 1279 de 2002, artículo 18, numeral I y en el A.C.S No.012 de 2009, artículo tercero.</t>
    </r>
  </si>
  <si>
    <t>DESEMPEÑO ACADÉMICO - ADMINISTRATIVO  2025</t>
  </si>
  <si>
    <t>PUNTOS POR DAA</t>
  </si>
  <si>
    <t>Inició comisión académico-admon el 07/05/2025 como Directora del Programa de Administración Financiera (DAA 239/365*2= 1,30→ Total puntos= 1,3)</t>
  </si>
  <si>
    <t>Cargo Académico Adtivo</t>
  </si>
  <si>
    <t>Inició comisión académico-admon el 01/06/2023 como Decana de la Facultad de Ciencias de la Salud (Calificación de DAA en el rango "Bueno" 6*80%= 4,8 puntos Art.4 A.C.S No. 012 de 2009)</t>
  </si>
  <si>
    <t>Inició comisión académico-admon el 01/06/2023 como Decano de la Facultad de Ciencias Humanas y Bellas Artes (Calificación de DAA en el rango "Bueno" 6*80%= 4,8 puntos Art.4 A.C.S No. 012 de 2009)</t>
  </si>
  <si>
    <t>Inició comisión académico-admon el 01/06/2023 como Directora del Programa de Administración de Negocios, terminó comisión el 20/06/2025 (DAA 171/365*2= 0,93→ Total puntos= 0,9)</t>
  </si>
  <si>
    <t>Inició comisión académico-admon el 01/06/2023 como Directora del Programa de Contaduría Pública, terminó comisión el 20/06/2025 (DAA 171/365*2= 0,93→ Total puntos= 0,9)</t>
  </si>
  <si>
    <t>Inició comisión académico-admon el 24/07/2023 como Director del Programa de Lic. En Educación Física, terminó comisión el 20/06/2025 (DAA 171/365*2= 0,93→ Total puntos= 0,9)</t>
  </si>
  <si>
    <t>Inició comisión académico-admon el 16/10/2024 como Director del Programa de Lic. En Matemáticas, terminó comisión el 19/12/2025 (DAA 353/365*2= 1,93→ Total puntos= 1,9)</t>
  </si>
  <si>
    <r>
      <rPr>
        <b/>
        <sz val="10"/>
        <color theme="1"/>
        <rFont val="Arial Narrow"/>
        <family val="2"/>
      </rPr>
      <t>Nota:</t>
    </r>
    <r>
      <rPr>
        <sz val="10"/>
        <color theme="1"/>
        <rFont val="Arial Narrow"/>
        <family val="2"/>
      </rPr>
      <t xml:space="preserve"> El reconocimiento de los puntos por actividades académico-administrativas se realizó con base en lo dispuesto en el Decreto 1279 de 2002, artículo 17 y en el A.C.S No.012 de 2009, artículo cuarto.</t>
    </r>
  </si>
  <si>
    <t>From error to insight: pedagical reflections on AI hallucinations and promt engineering</t>
  </si>
  <si>
    <t>China</t>
  </si>
  <si>
    <t>1674-2974</t>
  </si>
  <si>
    <t>Hunan Daxue Xuebao Journal Of Hunan University Natural Sciences</t>
  </si>
  <si>
    <t>https://scienti.minciencias.gov.co/publindex/#/revistasHomologadas/detalle/53148</t>
  </si>
  <si>
    <t>No Homolagada</t>
  </si>
  <si>
    <t>Journal of Hunan University</t>
  </si>
  <si>
    <t>JORGE ORLANDO HERRERA MORALES</t>
  </si>
  <si>
    <t>Darío Fernando Londoño Pinilla</t>
  </si>
  <si>
    <t>El artículo fue publicado en el año 2026, no cumple con lo establecido en el numeral 2 del artículo segundo del A.C.S No.012. Cada profesor someterá a consideración los resultados de su producción académica concluida durante el año calendario inmediatamente anterior.</t>
  </si>
  <si>
    <t>JORGE ALEJANDRO ALDANA GUTIÉRREZ</t>
  </si>
  <si>
    <t>CARLOS ANDRÉS TABARES RAMÍREZ</t>
  </si>
  <si>
    <t>JHOJAN CARDONA PATIÑO</t>
  </si>
  <si>
    <t>Acta. No.02
del 10/03/2026</t>
  </si>
  <si>
    <t>10 de marzo</t>
  </si>
  <si>
    <t>1- 18/03/2026</t>
  </si>
  <si>
    <t>ALEXANDER LÓPEZ PARRADO</t>
  </si>
  <si>
    <t>Inició comisión académico-admon el 11/10/2024 como Director del Programa de Lic. En Lenguas Modernas. Terminó comisión el 27/02/2026</t>
  </si>
  <si>
    <t>Puntos asignados CIARP 01- 18/03/2026</t>
  </si>
  <si>
    <t xml:space="preserve">CIARP- 01 2026
18 Mar </t>
  </si>
  <si>
    <t>Se asignan 4,5 de 8 puntos al profesor Sergio A. Cardona T, ya que el docente alcanzó el tope máximo de puntos en su categoría</t>
  </si>
  <si>
    <t>Inició comisión académico-admon el 01/06/2023 como Directora del Programa de Contaduría Pública. Terminó Comisión el 19 de junio de 2025.</t>
  </si>
  <si>
    <t>Inició comisión académico-admon el 01/06/2023 como Director del Programa de Lic. En Educación Física  // Estaba como director del programa desde el 01/03/2022. Terminó Comisión el 19 de junio de 2025</t>
  </si>
  <si>
    <t>Inició comisión académico-admon el 01/06/2023 como Directora del Programa de Administración de Negocios -Terminó Comisión el 19 de junio de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</si>
</sst>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#,##0.0"/>
    <numFmt numFmtId="166" formatCode="d/m/yyyy"/>
  </numFmts>
  <fonts count="62" x14ac:knownFonts="1">
    <font>
      <sz val="11"/>
      <color theme="1"/>
      <name val="Calibri"/>
      <family val="2"/>
      <scheme val="minor"/>
    </font>
    <font>
      <b/>
      <sz val="9"/>
      <name val="Arial"/>
      <family val="2"/>
    </font>
    <font>
      <b/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0"/>
      <name val="Arial"/>
      <family val="2"/>
    </font>
    <font>
      <u/>
      <sz val="11"/>
      <color theme="10"/>
      <name val="Calibri"/>
      <family val="2"/>
      <scheme val="minor"/>
    </font>
    <font>
      <sz val="11"/>
      <color theme="1"/>
      <name val="Arial"/>
      <family val="2"/>
    </font>
    <font>
      <b/>
      <sz val="10"/>
      <name val="Arial Narrow"/>
      <family val="2"/>
    </font>
    <font>
      <b/>
      <sz val="10"/>
      <color theme="1"/>
      <name val="Arial Narrow"/>
      <family val="2"/>
    </font>
    <font>
      <sz val="10"/>
      <color theme="1"/>
      <name val="Arial Narrow"/>
      <family val="2"/>
    </font>
    <font>
      <sz val="8"/>
      <name val="Calibri"/>
      <family val="2"/>
      <scheme val="minor"/>
    </font>
    <font>
      <sz val="10"/>
      <color rgb="FF002060"/>
      <name val="Arial Narrow"/>
      <family val="2"/>
    </font>
    <font>
      <sz val="10"/>
      <color rgb="FF76923C"/>
      <name val="Arial Narrow"/>
      <family val="2"/>
    </font>
    <font>
      <b/>
      <sz val="10"/>
      <color rgb="FFFF0000"/>
      <name val="Arial Narrow"/>
      <family val="2"/>
    </font>
    <font>
      <sz val="10"/>
      <color theme="4" tint="-0.499984740745262"/>
      <name val="Arial Narrow"/>
      <family val="2"/>
    </font>
    <font>
      <sz val="10"/>
      <color rgb="FFFF0000"/>
      <name val="Arial Narrow"/>
      <family val="2"/>
    </font>
    <font>
      <sz val="10"/>
      <color rgb="FF974806"/>
      <name val="Arial Narrow"/>
      <family val="2"/>
    </font>
    <font>
      <b/>
      <sz val="10"/>
      <color rgb="FF974806"/>
      <name val="Arial Narrow"/>
      <family val="2"/>
    </font>
    <font>
      <sz val="10"/>
      <name val="Arial Narrow"/>
      <family val="2"/>
    </font>
    <font>
      <b/>
      <sz val="10"/>
      <color rgb="FF002060"/>
      <name val="Arial Narrow"/>
      <family val="2"/>
    </font>
    <font>
      <sz val="10"/>
      <color rgb="FF000000"/>
      <name val="Arial Narrow"/>
      <family val="2"/>
    </font>
    <font>
      <b/>
      <sz val="10"/>
      <color rgb="FF000000"/>
      <name val="Arial Narrow"/>
      <family val="2"/>
    </font>
    <font>
      <sz val="10"/>
      <color rgb="FF008000"/>
      <name val="Arial Narrow"/>
      <family val="2"/>
    </font>
    <font>
      <sz val="10"/>
      <color rgb="FF006600"/>
      <name val="Arial"/>
      <family val="2"/>
    </font>
    <font>
      <b/>
      <sz val="10"/>
      <color rgb="FF006600"/>
      <name val="Arial"/>
      <family val="2"/>
    </font>
    <font>
      <b/>
      <u/>
      <sz val="10"/>
      <color rgb="FF006600"/>
      <name val="Arial"/>
      <family val="2"/>
    </font>
    <font>
      <i/>
      <sz val="10"/>
      <color rgb="FF006600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8000"/>
      <name val="Arial"/>
      <family val="2"/>
    </font>
    <font>
      <sz val="9"/>
      <color rgb="FFFF0000"/>
      <name val="Arial"/>
      <family val="2"/>
    </font>
    <font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indexed="81"/>
      <name val="Tahoma"/>
      <family val="2"/>
    </font>
    <font>
      <sz val="11"/>
      <color rgb="FFFF0000"/>
      <name val="Calibri"/>
      <family val="2"/>
      <scheme val="minor"/>
    </font>
    <font>
      <sz val="9"/>
      <color theme="6" tint="-0.249977111117893"/>
      <name val="Arial"/>
      <family val="2"/>
    </font>
    <font>
      <b/>
      <sz val="9"/>
      <color theme="6" tint="-0.249977111117893"/>
      <name val="Arial"/>
      <family val="2"/>
    </font>
    <font>
      <sz val="11"/>
      <color rgb="FF008000"/>
      <name val="Calibri"/>
      <family val="2"/>
      <scheme val="minor"/>
    </font>
    <font>
      <b/>
      <u/>
      <sz val="9"/>
      <color theme="6" tint="-0.249977111117893"/>
      <name val="Arial"/>
      <family val="2"/>
    </font>
    <font>
      <sz val="10"/>
      <color theme="6" tint="-0.249977111117893"/>
      <name val="Arial"/>
      <family val="2"/>
    </font>
    <font>
      <sz val="11"/>
      <name val="Calibri"/>
      <family val="2"/>
      <scheme val="minor"/>
    </font>
    <font>
      <sz val="9"/>
      <color theme="6" tint="-0.499984740745262"/>
      <name val="Arial"/>
      <family val="2"/>
    </font>
    <font>
      <b/>
      <sz val="9"/>
      <color theme="6" tint="-0.499984740745262"/>
      <name val="Arial"/>
      <family val="2"/>
    </font>
    <font>
      <sz val="10"/>
      <color theme="6" tint="-0.499984740745262"/>
      <name val="Arial Narrow"/>
      <family val="2"/>
    </font>
    <font>
      <b/>
      <sz val="10"/>
      <color theme="6" tint="-0.499984740745262"/>
      <name val="Arial Narrow"/>
      <family val="2"/>
    </font>
    <font>
      <b/>
      <u/>
      <sz val="9"/>
      <color theme="6" tint="-0.499984740745262"/>
      <name val="Arial"/>
      <family val="2"/>
    </font>
    <font>
      <u/>
      <sz val="10"/>
      <color theme="10"/>
      <name val="Arial Narrow"/>
      <family val="2"/>
    </font>
    <font>
      <u/>
      <sz val="10"/>
      <color theme="3" tint="0.39997558519241921"/>
      <name val="Arial Narrow"/>
      <family val="2"/>
    </font>
    <font>
      <sz val="10"/>
      <color rgb="FF00B050"/>
      <name val="Arial Narrow"/>
      <family val="2"/>
    </font>
    <font>
      <u/>
      <sz val="10"/>
      <color rgb="FFFF0000"/>
      <name val="Arial Narrow"/>
      <family val="2"/>
    </font>
    <font>
      <sz val="10"/>
      <color rgb="FF006600"/>
      <name val="Arial Narrow"/>
      <family val="2"/>
    </font>
  </fonts>
  <fills count="21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BD4B4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FBD4B4"/>
      </patternFill>
    </fill>
    <fill>
      <patternFill patternType="solid">
        <fgColor rgb="FFFBD4B4"/>
        <bgColor rgb="FFFBD4B4"/>
      </patternFill>
    </fill>
    <fill>
      <patternFill patternType="solid">
        <fgColor theme="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DE9D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rgb="FFFDE9D9"/>
      </patternFill>
    </fill>
    <fill>
      <patternFill patternType="solid">
        <fgColor theme="9" tint="0.79998168889431442"/>
        <bgColor rgb="FFC2D69B"/>
      </patternFill>
    </fill>
    <fill>
      <patternFill patternType="solid">
        <fgColor theme="9" tint="0.79998168889431442"/>
        <bgColor rgb="FFC6D9F0"/>
      </patternFill>
    </fill>
    <fill>
      <patternFill patternType="solid">
        <fgColor theme="9" tint="0.79998168889431442"/>
        <bgColor rgb="FFCCFFFF"/>
      </patternFill>
    </fill>
    <fill>
      <patternFill patternType="solid">
        <fgColor theme="7" tint="0.79998168889431442"/>
        <bgColor rgb="FFCCCCFF"/>
      </patternFill>
    </fill>
    <fill>
      <patternFill patternType="solid">
        <fgColor theme="6" tint="0.79998168889431442"/>
        <bgColor rgb="FFCCFFCC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92D050"/>
      </bottom>
      <diagonal/>
    </border>
    <border>
      <left style="thin">
        <color rgb="FF92D050"/>
      </left>
      <right style="thin">
        <color rgb="FF92D050"/>
      </right>
      <top style="thin">
        <color rgb="FF92D050"/>
      </top>
      <bottom style="thin">
        <color rgb="FF92D050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</borders>
  <cellStyleXfs count="43">
    <xf numFmtId="0" fontId="0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2" fillId="0" borderId="0"/>
    <xf numFmtId="0" fontId="9" fillId="0" borderId="0"/>
    <xf numFmtId="0" fontId="13" fillId="0" borderId="0"/>
    <xf numFmtId="0" fontId="1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14" fillId="0" borderId="0"/>
    <xf numFmtId="0" fontId="16" fillId="0" borderId="0" applyNumberFormat="0" applyFill="0" applyBorder="0" applyAlignment="0" applyProtection="0"/>
    <xf numFmtId="0" fontId="9" fillId="0" borderId="0"/>
    <xf numFmtId="0" fontId="9" fillId="0" borderId="0"/>
    <xf numFmtId="0" fontId="17" fillId="0" borderId="0"/>
    <xf numFmtId="0" fontId="13" fillId="0" borderId="0"/>
    <xf numFmtId="0" fontId="13" fillId="0" borderId="0"/>
    <xf numFmtId="0" fontId="13" fillId="0" borderId="0"/>
  </cellStyleXfs>
  <cellXfs count="524">
    <xf numFmtId="0" fontId="0" fillId="0" borderId="0" xfId="0"/>
    <xf numFmtId="0" fontId="5" fillId="0" borderId="0" xfId="0" applyFont="1"/>
    <xf numFmtId="0" fontId="3" fillId="0" borderId="0" xfId="0" applyFont="1" applyAlignment="1">
      <alignment wrapText="1"/>
    </xf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0" fontId="8" fillId="4" borderId="0" xfId="0" applyFont="1" applyFill="1" applyAlignment="1">
      <alignment horizontal="left" vertical="center"/>
    </xf>
    <xf numFmtId="165" fontId="8" fillId="4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wrapText="1"/>
    </xf>
    <xf numFmtId="0" fontId="2" fillId="0" borderId="0" xfId="0" applyFont="1"/>
    <xf numFmtId="0" fontId="0" fillId="0" borderId="0" xfId="0" applyAlignment="1">
      <alignment horizontal="center"/>
    </xf>
    <xf numFmtId="164" fontId="8" fillId="4" borderId="0" xfId="0" applyNumberFormat="1" applyFont="1" applyFill="1" applyAlignment="1">
      <alignment horizontal="center" vertical="center"/>
    </xf>
    <xf numFmtId="0" fontId="18" fillId="2" borderId="2" xfId="0" applyFont="1" applyFill="1" applyBorder="1" applyAlignment="1" applyProtection="1">
      <alignment horizontal="center" vertical="center" wrapText="1"/>
      <protection locked="0"/>
    </xf>
    <xf numFmtId="0" fontId="19" fillId="6" borderId="2" xfId="0" applyFont="1" applyFill="1" applyBorder="1" applyAlignment="1">
      <alignment horizontal="center" vertical="center" wrapText="1"/>
    </xf>
    <xf numFmtId="0" fontId="20" fillId="0" borderId="0" xfId="0" applyFont="1"/>
    <xf numFmtId="0" fontId="18" fillId="2" borderId="5" xfId="0" applyFont="1" applyFill="1" applyBorder="1" applyAlignment="1" applyProtection="1">
      <alignment horizontal="center" vertical="center" wrapText="1"/>
      <protection locked="0"/>
    </xf>
    <xf numFmtId="0" fontId="19" fillId="6" borderId="5" xfId="0" applyFont="1" applyFill="1" applyBorder="1" applyAlignment="1">
      <alignment horizontal="center" vertical="center" wrapText="1"/>
    </xf>
    <xf numFmtId="0" fontId="19" fillId="6" borderId="1" xfId="0" applyFont="1" applyFill="1" applyBorder="1" applyAlignment="1">
      <alignment horizontal="center" vertical="center" wrapText="1"/>
    </xf>
    <xf numFmtId="0" fontId="19" fillId="6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wrapText="1"/>
    </xf>
    <xf numFmtId="0" fontId="1" fillId="2" borderId="2" xfId="0" applyFont="1" applyFill="1" applyBorder="1" applyAlignment="1">
      <alignment horizontal="center" vertical="center" wrapText="1"/>
    </xf>
    <xf numFmtId="165" fontId="8" fillId="4" borderId="0" xfId="0" applyNumberFormat="1" applyFont="1" applyFill="1" applyAlignment="1">
      <alignment horizontal="center"/>
    </xf>
    <xf numFmtId="0" fontId="0" fillId="0" borderId="0" xfId="0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20" fillId="0" borderId="14" xfId="0" applyFont="1" applyBorder="1" applyAlignment="1">
      <alignment horizontal="left" vertical="center" wrapText="1"/>
    </xf>
    <xf numFmtId="3" fontId="20" fillId="0" borderId="3" xfId="0" applyNumberFormat="1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 wrapText="1"/>
    </xf>
    <xf numFmtId="0" fontId="20" fillId="0" borderId="3" xfId="0" applyFont="1" applyBorder="1" applyAlignment="1">
      <alignment horizontal="center" vertical="center"/>
    </xf>
    <xf numFmtId="166" fontId="20" fillId="0" borderId="3" xfId="0" applyNumberFormat="1" applyFont="1" applyBorder="1" applyAlignment="1">
      <alignment horizontal="center" vertical="center"/>
    </xf>
    <xf numFmtId="164" fontId="20" fillId="0" borderId="3" xfId="0" applyNumberFormat="1" applyFont="1" applyBorder="1" applyAlignment="1">
      <alignment horizontal="center" vertical="center"/>
    </xf>
    <xf numFmtId="164" fontId="22" fillId="0" borderId="15" xfId="0" applyNumberFormat="1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164" fontId="20" fillId="0" borderId="15" xfId="0" applyNumberFormat="1" applyFont="1" applyBorder="1" applyAlignment="1">
      <alignment horizontal="center" vertical="center"/>
    </xf>
    <xf numFmtId="165" fontId="20" fillId="0" borderId="15" xfId="0" applyNumberFormat="1" applyFont="1" applyBorder="1" applyAlignment="1">
      <alignment horizontal="center" vertical="center"/>
    </xf>
    <xf numFmtId="165" fontId="19" fillId="0" borderId="15" xfId="0" applyNumberFormat="1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 wrapText="1"/>
    </xf>
    <xf numFmtId="14" fontId="20" fillId="0" borderId="3" xfId="0" applyNumberFormat="1" applyFont="1" applyBorder="1" applyAlignment="1">
      <alignment horizontal="center" vertical="center"/>
    </xf>
    <xf numFmtId="164" fontId="20" fillId="0" borderId="3" xfId="0" applyNumberFormat="1" applyFont="1" applyBorder="1" applyAlignment="1">
      <alignment horizontal="center" vertical="center" wrapText="1"/>
    </xf>
    <xf numFmtId="0" fontId="20" fillId="0" borderId="3" xfId="0" applyFont="1" applyBorder="1" applyAlignment="1">
      <alignment vertical="center"/>
    </xf>
    <xf numFmtId="165" fontId="18" fillId="0" borderId="15" xfId="0" applyNumberFormat="1" applyFont="1" applyBorder="1" applyAlignment="1">
      <alignment horizontal="center" vertical="center"/>
    </xf>
    <xf numFmtId="165" fontId="20" fillId="0" borderId="15" xfId="0" applyNumberFormat="1" applyFont="1" applyBorder="1" applyAlignment="1">
      <alignment horizontal="center" vertical="center" wrapText="1"/>
    </xf>
    <xf numFmtId="0" fontId="20" fillId="0" borderId="3" xfId="0" applyFont="1" applyBorder="1" applyAlignment="1">
      <alignment vertical="center" wrapText="1"/>
    </xf>
    <xf numFmtId="164" fontId="23" fillId="0" borderId="3" xfId="0" applyNumberFormat="1" applyFont="1" applyBorder="1" applyAlignment="1">
      <alignment horizontal="center" vertical="center"/>
    </xf>
    <xf numFmtId="0" fontId="20" fillId="8" borderId="14" xfId="0" applyFont="1" applyFill="1" applyBorder="1" applyAlignment="1">
      <alignment horizontal="left" vertical="center" wrapText="1"/>
    </xf>
    <xf numFmtId="3" fontId="20" fillId="8" borderId="3" xfId="0" applyNumberFormat="1" applyFont="1" applyFill="1" applyBorder="1" applyAlignment="1">
      <alignment horizontal="center" vertical="center"/>
    </xf>
    <xf numFmtId="0" fontId="20" fillId="8" borderId="3" xfId="0" applyFont="1" applyFill="1" applyBorder="1" applyAlignment="1">
      <alignment horizontal="center" vertical="center" wrapText="1"/>
    </xf>
    <xf numFmtId="0" fontId="20" fillId="8" borderId="3" xfId="0" applyFont="1" applyFill="1" applyBorder="1" applyAlignment="1">
      <alignment horizontal="center" vertical="center"/>
    </xf>
    <xf numFmtId="166" fontId="20" fillId="8" borderId="3" xfId="0" applyNumberFormat="1" applyFont="1" applyFill="1" applyBorder="1" applyAlignment="1">
      <alignment horizontal="center" vertical="center"/>
    </xf>
    <xf numFmtId="164" fontId="20" fillId="8" borderId="3" xfId="0" applyNumberFormat="1" applyFont="1" applyFill="1" applyBorder="1" applyAlignment="1">
      <alignment horizontal="center" vertical="center"/>
    </xf>
    <xf numFmtId="164" fontId="22" fillId="8" borderId="15" xfId="0" applyNumberFormat="1" applyFont="1" applyFill="1" applyBorder="1" applyAlignment="1">
      <alignment horizontal="center" vertical="center"/>
    </xf>
    <xf numFmtId="0" fontId="19" fillId="8" borderId="3" xfId="0" applyFont="1" applyFill="1" applyBorder="1" applyAlignment="1">
      <alignment horizontal="center" vertical="center"/>
    </xf>
    <xf numFmtId="164" fontId="20" fillId="8" borderId="15" xfId="0" applyNumberFormat="1" applyFont="1" applyFill="1" applyBorder="1" applyAlignment="1">
      <alignment horizontal="center" vertical="center"/>
    </xf>
    <xf numFmtId="165" fontId="20" fillId="8" borderId="15" xfId="0" applyNumberFormat="1" applyFont="1" applyFill="1" applyBorder="1" applyAlignment="1">
      <alignment horizontal="center" vertical="center"/>
    </xf>
    <xf numFmtId="165" fontId="19" fillId="8" borderId="15" xfId="0" applyNumberFormat="1" applyFont="1" applyFill="1" applyBorder="1" applyAlignment="1">
      <alignment horizontal="center" vertical="center"/>
    </xf>
    <xf numFmtId="165" fontId="24" fillId="0" borderId="15" xfId="0" applyNumberFormat="1" applyFont="1" applyBorder="1" applyAlignment="1">
      <alignment horizontal="center" vertical="center"/>
    </xf>
    <xf numFmtId="164" fontId="25" fillId="0" borderId="15" xfId="0" applyNumberFormat="1" applyFont="1" applyBorder="1" applyAlignment="1">
      <alignment horizontal="center" vertical="center"/>
    </xf>
    <xf numFmtId="165" fontId="20" fillId="8" borderId="15" xfId="0" applyNumberFormat="1" applyFont="1" applyFill="1" applyBorder="1" applyAlignment="1">
      <alignment horizontal="center" vertical="center" wrapText="1"/>
    </xf>
    <xf numFmtId="0" fontId="20" fillId="8" borderId="3" xfId="0" applyFont="1" applyFill="1" applyBorder="1" applyAlignment="1">
      <alignment horizontal="left" vertical="center" wrapText="1"/>
    </xf>
    <xf numFmtId="166" fontId="20" fillId="0" borderId="3" xfId="0" applyNumberFormat="1" applyFont="1" applyBorder="1" applyAlignment="1">
      <alignment horizontal="center" vertical="center" wrapText="1"/>
    </xf>
    <xf numFmtId="0" fontId="26" fillId="0" borderId="14" xfId="0" applyFont="1" applyBorder="1" applyAlignment="1">
      <alignment horizontal="left" vertical="center" wrapText="1"/>
    </xf>
    <xf numFmtId="3" fontId="26" fillId="0" borderId="3" xfId="0" applyNumberFormat="1" applyFont="1" applyBorder="1" applyAlignment="1">
      <alignment horizontal="center" vertical="center"/>
    </xf>
    <xf numFmtId="0" fontId="26" fillId="0" borderId="3" xfId="0" applyFont="1" applyBorder="1" applyAlignment="1">
      <alignment horizontal="center" vertical="center"/>
    </xf>
    <xf numFmtId="0" fontId="26" fillId="0" borderId="3" xfId="0" applyFont="1" applyBorder="1" applyAlignment="1">
      <alignment horizontal="center" vertical="center" wrapText="1"/>
    </xf>
    <xf numFmtId="166" fontId="26" fillId="0" borderId="3" xfId="0" applyNumberFormat="1" applyFont="1" applyBorder="1" applyAlignment="1">
      <alignment horizontal="center" vertical="center"/>
    </xf>
    <xf numFmtId="164" fontId="26" fillId="0" borderId="3" xfId="0" applyNumberFormat="1" applyFont="1" applyBorder="1" applyAlignment="1">
      <alignment horizontal="center" vertical="center"/>
    </xf>
    <xf numFmtId="164" fontId="26" fillId="0" borderId="15" xfId="0" applyNumberFormat="1" applyFont="1" applyBorder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165" fontId="26" fillId="0" borderId="15" xfId="0" applyNumberFormat="1" applyFont="1" applyBorder="1" applyAlignment="1">
      <alignment horizontal="center" vertical="center"/>
    </xf>
    <xf numFmtId="0" fontId="24" fillId="0" borderId="3" xfId="0" applyFont="1" applyBorder="1" applyAlignment="1">
      <alignment horizontal="center" vertical="center" wrapText="1"/>
    </xf>
    <xf numFmtId="164" fontId="27" fillId="0" borderId="15" xfId="0" applyNumberFormat="1" applyFont="1" applyBorder="1" applyAlignment="1">
      <alignment horizontal="center" vertical="center"/>
    </xf>
    <xf numFmtId="165" fontId="28" fillId="0" borderId="15" xfId="0" applyNumberFormat="1" applyFont="1" applyBorder="1" applyAlignment="1">
      <alignment horizontal="center" vertical="center"/>
    </xf>
    <xf numFmtId="165" fontId="27" fillId="0" borderId="15" xfId="0" applyNumberFormat="1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 wrapText="1"/>
    </xf>
    <xf numFmtId="166" fontId="26" fillId="0" borderId="3" xfId="0" applyNumberFormat="1" applyFont="1" applyBorder="1" applyAlignment="1">
      <alignment horizontal="center" vertical="center" wrapText="1"/>
    </xf>
    <xf numFmtId="164" fontId="19" fillId="0" borderId="15" xfId="0" applyNumberFormat="1" applyFont="1" applyBorder="1" applyAlignment="1">
      <alignment horizontal="center" vertical="center"/>
    </xf>
    <xf numFmtId="0" fontId="29" fillId="0" borderId="14" xfId="0" applyFont="1" applyBorder="1" applyAlignment="1">
      <alignment horizontal="left" vertical="center" wrapText="1"/>
    </xf>
    <xf numFmtId="3" fontId="29" fillId="0" borderId="3" xfId="0" applyNumberFormat="1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 wrapText="1"/>
    </xf>
    <xf numFmtId="166" fontId="29" fillId="0" borderId="3" xfId="0" applyNumberFormat="1" applyFont="1" applyBorder="1" applyAlignment="1">
      <alignment horizontal="center" vertical="center"/>
    </xf>
    <xf numFmtId="164" fontId="29" fillId="0" borderId="3" xfId="0" applyNumberFormat="1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164" fontId="29" fillId="0" borderId="15" xfId="0" applyNumberFormat="1" applyFont="1" applyBorder="1" applyAlignment="1">
      <alignment horizontal="center" vertical="center"/>
    </xf>
    <xf numFmtId="164" fontId="18" fillId="0" borderId="15" xfId="0" applyNumberFormat="1" applyFont="1" applyBorder="1" applyAlignment="1">
      <alignment horizontal="center" vertical="center"/>
    </xf>
    <xf numFmtId="0" fontId="20" fillId="0" borderId="3" xfId="0" applyFont="1" applyBorder="1" applyAlignment="1">
      <alignment horizontal="left" vertical="center" wrapText="1"/>
    </xf>
    <xf numFmtId="164" fontId="24" fillId="0" borderId="15" xfId="0" applyNumberFormat="1" applyFont="1" applyBorder="1" applyAlignment="1">
      <alignment horizontal="center" vertical="center"/>
    </xf>
    <xf numFmtId="1" fontId="20" fillId="0" borderId="3" xfId="0" applyNumberFormat="1" applyFont="1" applyBorder="1" applyAlignment="1">
      <alignment horizontal="center" vertical="center"/>
    </xf>
    <xf numFmtId="3" fontId="20" fillId="8" borderId="3" xfId="0" applyNumberFormat="1" applyFont="1" applyFill="1" applyBorder="1" applyAlignment="1">
      <alignment horizontal="center" vertical="center" wrapText="1"/>
    </xf>
    <xf numFmtId="3" fontId="20" fillId="0" borderId="3" xfId="0" applyNumberFormat="1" applyFont="1" applyBorder="1" applyAlignment="1">
      <alignment horizontal="center" vertical="center" wrapText="1"/>
    </xf>
    <xf numFmtId="165" fontId="29" fillId="0" borderId="15" xfId="0" applyNumberFormat="1" applyFont="1" applyBorder="1" applyAlignment="1">
      <alignment horizontal="center" vertical="center"/>
    </xf>
    <xf numFmtId="0" fontId="20" fillId="8" borderId="14" xfId="0" applyFont="1" applyFill="1" applyBorder="1" applyAlignment="1">
      <alignment vertical="center" wrapText="1"/>
    </xf>
    <xf numFmtId="166" fontId="20" fillId="8" borderId="3" xfId="0" applyNumberFormat="1" applyFont="1" applyFill="1" applyBorder="1" applyAlignment="1">
      <alignment horizontal="center" vertical="center" wrapText="1"/>
    </xf>
    <xf numFmtId="165" fontId="24" fillId="8" borderId="15" xfId="0" applyNumberFormat="1" applyFont="1" applyFill="1" applyBorder="1" applyAlignment="1">
      <alignment horizontal="center" vertical="center"/>
    </xf>
    <xf numFmtId="165" fontId="29" fillId="8" borderId="15" xfId="0" applyNumberFormat="1" applyFont="1" applyFill="1" applyBorder="1" applyAlignment="1">
      <alignment horizontal="center" vertical="center" wrapText="1"/>
    </xf>
    <xf numFmtId="0" fontId="29" fillId="8" borderId="3" xfId="0" applyFont="1" applyFill="1" applyBorder="1" applyAlignment="1">
      <alignment horizontal="left" vertical="center" wrapText="1"/>
    </xf>
    <xf numFmtId="164" fontId="30" fillId="0" borderId="15" xfId="0" applyNumberFormat="1" applyFont="1" applyBorder="1" applyAlignment="1">
      <alignment horizontal="center" vertical="center"/>
    </xf>
    <xf numFmtId="0" fontId="20" fillId="0" borderId="14" xfId="0" applyFont="1" applyBorder="1" applyAlignment="1">
      <alignment vertical="center" wrapText="1"/>
    </xf>
    <xf numFmtId="164" fontId="26" fillId="8" borderId="3" xfId="0" applyNumberFormat="1" applyFont="1" applyFill="1" applyBorder="1" applyAlignment="1">
      <alignment horizontal="center" vertical="center"/>
    </xf>
    <xf numFmtId="164" fontId="26" fillId="8" borderId="15" xfId="0" applyNumberFormat="1" applyFont="1" applyFill="1" applyBorder="1" applyAlignment="1">
      <alignment horizontal="center" vertical="center"/>
    </xf>
    <xf numFmtId="165" fontId="20" fillId="9" borderId="15" xfId="0" applyNumberFormat="1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 vertical="center"/>
    </xf>
    <xf numFmtId="0" fontId="19" fillId="0" borderId="3" xfId="0" applyFont="1" applyBorder="1" applyAlignment="1">
      <alignment horizontal="left" vertical="center" wrapText="1"/>
    </xf>
    <xf numFmtId="0" fontId="28" fillId="0" borderId="3" xfId="0" applyFont="1" applyBorder="1" applyAlignment="1">
      <alignment horizontal="center" vertical="center" wrapText="1"/>
    </xf>
    <xf numFmtId="0" fontId="26" fillId="8" borderId="14" xfId="0" applyFont="1" applyFill="1" applyBorder="1" applyAlignment="1">
      <alignment horizontal="left" vertical="center" wrapText="1"/>
    </xf>
    <xf numFmtId="3" fontId="26" fillId="8" borderId="3" xfId="0" applyNumberFormat="1" applyFont="1" applyFill="1" applyBorder="1" applyAlignment="1">
      <alignment horizontal="center" vertical="center"/>
    </xf>
    <xf numFmtId="0" fontId="26" fillId="8" borderId="3" xfId="0" applyFont="1" applyFill="1" applyBorder="1" applyAlignment="1">
      <alignment horizontal="center" vertical="center" wrapText="1"/>
    </xf>
    <xf numFmtId="0" fontId="26" fillId="8" borderId="3" xfId="0" applyFont="1" applyFill="1" applyBorder="1" applyAlignment="1">
      <alignment horizontal="center" vertical="center"/>
    </xf>
    <xf numFmtId="166" fontId="26" fillId="8" borderId="3" xfId="0" applyNumberFormat="1" applyFont="1" applyFill="1" applyBorder="1" applyAlignment="1">
      <alignment horizontal="center" vertical="center"/>
    </xf>
    <xf numFmtId="0" fontId="24" fillId="8" borderId="3" xfId="0" applyFont="1" applyFill="1" applyBorder="1" applyAlignment="1">
      <alignment horizontal="center" vertical="center"/>
    </xf>
    <xf numFmtId="165" fontId="28" fillId="8" borderId="15" xfId="0" applyNumberFormat="1" applyFont="1" applyFill="1" applyBorder="1" applyAlignment="1">
      <alignment horizontal="center" vertical="center"/>
    </xf>
    <xf numFmtId="165" fontId="29" fillId="0" borderId="15" xfId="0" applyNumberFormat="1" applyFont="1" applyBorder="1" applyAlignment="1">
      <alignment horizontal="center" vertical="center" wrapText="1"/>
    </xf>
    <xf numFmtId="3" fontId="20" fillId="0" borderId="0" xfId="0" applyNumberFormat="1" applyFont="1" applyAlignment="1">
      <alignment horizontal="center" vertical="center"/>
    </xf>
    <xf numFmtId="164" fontId="19" fillId="0" borderId="3" xfId="0" applyNumberFormat="1" applyFont="1" applyBorder="1" applyAlignment="1">
      <alignment horizontal="center" vertical="center"/>
    </xf>
    <xf numFmtId="164" fontId="20" fillId="0" borderId="9" xfId="0" applyNumberFormat="1" applyFont="1" applyBorder="1" applyAlignment="1">
      <alignment horizontal="center" vertical="center"/>
    </xf>
    <xf numFmtId="3" fontId="31" fillId="0" borderId="3" xfId="0" applyNumberFormat="1" applyFont="1" applyBorder="1" applyAlignment="1">
      <alignment horizontal="center" vertical="center"/>
    </xf>
    <xf numFmtId="0" fontId="29" fillId="8" borderId="14" xfId="0" applyFont="1" applyFill="1" applyBorder="1" applyAlignment="1">
      <alignment horizontal="left" vertical="center" wrapText="1"/>
    </xf>
    <xf numFmtId="3" fontId="29" fillId="8" borderId="3" xfId="0" applyNumberFormat="1" applyFont="1" applyFill="1" applyBorder="1" applyAlignment="1">
      <alignment horizontal="center" vertical="center"/>
    </xf>
    <xf numFmtId="0" fontId="29" fillId="8" borderId="3" xfId="0" applyFont="1" applyFill="1" applyBorder="1" applyAlignment="1">
      <alignment horizontal="center" vertical="center"/>
    </xf>
    <xf numFmtId="0" fontId="29" fillId="8" borderId="3" xfId="0" applyFont="1" applyFill="1" applyBorder="1" applyAlignment="1">
      <alignment horizontal="center" vertical="center" wrapText="1"/>
    </xf>
    <xf numFmtId="166" fontId="29" fillId="8" borderId="3" xfId="0" applyNumberFormat="1" applyFont="1" applyFill="1" applyBorder="1" applyAlignment="1">
      <alignment horizontal="center" vertical="center"/>
    </xf>
    <xf numFmtId="164" fontId="29" fillId="8" borderId="3" xfId="0" applyNumberFormat="1" applyFont="1" applyFill="1" applyBorder="1" applyAlignment="1">
      <alignment horizontal="center" vertical="center"/>
    </xf>
    <xf numFmtId="0" fontId="18" fillId="8" borderId="3" xfId="0" applyFont="1" applyFill="1" applyBorder="1" applyAlignment="1">
      <alignment horizontal="center" vertical="center"/>
    </xf>
    <xf numFmtId="164" fontId="29" fillId="8" borderId="15" xfId="0" applyNumberFormat="1" applyFont="1" applyFill="1" applyBorder="1" applyAlignment="1">
      <alignment horizontal="center" vertical="center"/>
    </xf>
    <xf numFmtId="164" fontId="27" fillId="8" borderId="15" xfId="0" applyNumberFormat="1" applyFont="1" applyFill="1" applyBorder="1" applyAlignment="1">
      <alignment horizontal="center" vertical="center"/>
    </xf>
    <xf numFmtId="164" fontId="20" fillId="0" borderId="0" xfId="0" applyNumberFormat="1" applyFont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0" fontId="20" fillId="0" borderId="15" xfId="0" applyFont="1" applyBorder="1" applyAlignment="1">
      <alignment vertical="center"/>
    </xf>
    <xf numFmtId="0" fontId="18" fillId="0" borderId="15" xfId="0" applyFont="1" applyBorder="1" applyAlignment="1">
      <alignment horizontal="center" vertical="center"/>
    </xf>
    <xf numFmtId="0" fontId="24" fillId="0" borderId="15" xfId="0" applyFont="1" applyBorder="1" applyAlignment="1">
      <alignment horizontal="center" vertical="center"/>
    </xf>
    <xf numFmtId="0" fontId="26" fillId="0" borderId="15" xfId="0" applyFont="1" applyBorder="1" applyAlignment="1">
      <alignment horizontal="center" vertical="center"/>
    </xf>
    <xf numFmtId="164" fontId="22" fillId="0" borderId="3" xfId="0" applyNumberFormat="1" applyFont="1" applyBorder="1" applyAlignment="1">
      <alignment horizontal="center" vertical="center"/>
    </xf>
    <xf numFmtId="165" fontId="19" fillId="0" borderId="3" xfId="0" applyNumberFormat="1" applyFont="1" applyBorder="1" applyAlignment="1">
      <alignment horizontal="center" vertical="center"/>
    </xf>
    <xf numFmtId="165" fontId="20" fillId="0" borderId="3" xfId="0" applyNumberFormat="1" applyFont="1" applyBorder="1" applyAlignment="1">
      <alignment horizontal="center" vertical="center"/>
    </xf>
    <xf numFmtId="3" fontId="20" fillId="0" borderId="13" xfId="0" applyNumberFormat="1" applyFont="1" applyBorder="1" applyAlignment="1">
      <alignment horizontal="center" vertical="center"/>
    </xf>
    <xf numFmtId="0" fontId="20" fillId="8" borderId="16" xfId="0" applyFont="1" applyFill="1" applyBorder="1" applyAlignment="1">
      <alignment horizontal="left" vertical="center" wrapText="1"/>
    </xf>
    <xf numFmtId="3" fontId="20" fillId="8" borderId="1" xfId="0" applyNumberFormat="1" applyFont="1" applyFill="1" applyBorder="1" applyAlignment="1">
      <alignment horizontal="center" vertical="center"/>
    </xf>
    <xf numFmtId="0" fontId="20" fillId="8" borderId="14" xfId="0" applyFont="1" applyFill="1" applyBorder="1" applyAlignment="1">
      <alignment horizontal="center" vertical="center" wrapText="1"/>
    </xf>
    <xf numFmtId="164" fontId="22" fillId="8" borderId="3" xfId="0" applyNumberFormat="1" applyFont="1" applyFill="1" applyBorder="1" applyAlignment="1">
      <alignment horizontal="center" vertical="center"/>
    </xf>
    <xf numFmtId="165" fontId="19" fillId="8" borderId="3" xfId="0" applyNumberFormat="1" applyFont="1" applyFill="1" applyBorder="1" applyAlignment="1">
      <alignment horizontal="center" vertical="center"/>
    </xf>
    <xf numFmtId="165" fontId="20" fillId="8" borderId="3" xfId="0" applyNumberFormat="1" applyFont="1" applyFill="1" applyBorder="1" applyAlignment="1">
      <alignment horizontal="center" vertical="center"/>
    </xf>
    <xf numFmtId="0" fontId="20" fillId="8" borderId="11" xfId="0" applyFont="1" applyFill="1" applyBorder="1" applyAlignment="1">
      <alignment horizontal="left" vertical="center" wrapText="1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left" vertical="center" wrapText="1"/>
    </xf>
    <xf numFmtId="1" fontId="20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 vertical="center" wrapText="1"/>
    </xf>
    <xf numFmtId="166" fontId="20" fillId="0" borderId="0" xfId="0" applyNumberFormat="1" applyFont="1" applyAlignment="1">
      <alignment horizontal="center" vertical="center"/>
    </xf>
    <xf numFmtId="0" fontId="20" fillId="0" borderId="0" xfId="0" applyFont="1" applyAlignment="1">
      <alignment vertical="center"/>
    </xf>
    <xf numFmtId="164" fontId="22" fillId="0" borderId="0" xfId="0" applyNumberFormat="1" applyFont="1" applyAlignment="1">
      <alignment horizontal="center" vertical="center"/>
    </xf>
    <xf numFmtId="165" fontId="20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0" fontId="20" fillId="0" borderId="0" xfId="0" applyFont="1" applyAlignment="1">
      <alignment horizontal="center" wrapText="1"/>
    </xf>
    <xf numFmtId="0" fontId="32" fillId="0" borderId="12" xfId="0" applyFont="1" applyBorder="1" applyAlignment="1">
      <alignment horizontal="center" vertical="center"/>
    </xf>
    <xf numFmtId="0" fontId="29" fillId="0" borderId="12" xfId="0" applyFont="1" applyBorder="1"/>
    <xf numFmtId="0" fontId="26" fillId="0" borderId="0" xfId="0" applyFont="1"/>
    <xf numFmtId="0" fontId="29" fillId="0" borderId="0" xfId="0" applyFont="1"/>
    <xf numFmtId="0" fontId="19" fillId="0" borderId="0" xfId="0" applyFont="1" applyAlignment="1">
      <alignment horizontal="center"/>
    </xf>
    <xf numFmtId="0" fontId="20" fillId="8" borderId="1" xfId="0" applyFont="1" applyFill="1" applyBorder="1"/>
    <xf numFmtId="0" fontId="20" fillId="0" borderId="0" xfId="0" applyFont="1" applyAlignment="1">
      <alignment horizontal="left"/>
    </xf>
    <xf numFmtId="0" fontId="20" fillId="0" borderId="0" xfId="0" applyFont="1" applyAlignment="1">
      <alignment wrapText="1"/>
    </xf>
    <xf numFmtId="0" fontId="20" fillId="3" borderId="0" xfId="0" applyFont="1" applyFill="1" applyAlignment="1">
      <alignment horizontal="center" vertical="center"/>
    </xf>
    <xf numFmtId="0" fontId="20" fillId="3" borderId="0" xfId="0" applyFont="1" applyFill="1" applyAlignment="1">
      <alignment horizontal="center" vertical="center" wrapText="1"/>
    </xf>
    <xf numFmtId="0" fontId="20" fillId="0" borderId="0" xfId="0" applyFont="1" applyAlignment="1">
      <alignment vertical="center" wrapText="1"/>
    </xf>
    <xf numFmtId="3" fontId="20" fillId="0" borderId="3" xfId="10" applyNumberFormat="1" applyFont="1" applyBorder="1" applyAlignment="1">
      <alignment horizontal="center" vertical="center"/>
    </xf>
    <xf numFmtId="165" fontId="19" fillId="4" borderId="0" xfId="0" applyNumberFormat="1" applyFont="1" applyFill="1" applyAlignment="1">
      <alignment horizontal="center"/>
    </xf>
    <xf numFmtId="0" fontId="18" fillId="2" borderId="1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/>
    </xf>
    <xf numFmtId="0" fontId="18" fillId="2" borderId="2" xfId="0" applyFont="1" applyFill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14" fontId="29" fillId="0" borderId="1" xfId="0" applyNumberFormat="1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29" fillId="0" borderId="2" xfId="0" applyFont="1" applyBorder="1" applyAlignment="1">
      <alignment horizontal="center" vertical="center" wrapText="1"/>
    </xf>
    <xf numFmtId="0" fontId="33" fillId="0" borderId="0" xfId="0" applyFont="1"/>
    <xf numFmtId="3" fontId="29" fillId="0" borderId="8" xfId="0" applyNumberFormat="1" applyFont="1" applyBorder="1" applyAlignment="1">
      <alignment horizontal="center" vertical="center" wrapText="1"/>
    </xf>
    <xf numFmtId="164" fontId="29" fillId="7" borderId="1" xfId="0" applyNumberFormat="1" applyFont="1" applyFill="1" applyBorder="1" applyAlignment="1">
      <alignment horizontal="center" vertical="center" wrapText="1"/>
    </xf>
    <xf numFmtId="164" fontId="18" fillId="0" borderId="1" xfId="0" applyNumberFormat="1" applyFont="1" applyBorder="1" applyAlignment="1">
      <alignment horizontal="center" vertical="center" wrapText="1"/>
    </xf>
    <xf numFmtId="3" fontId="29" fillId="0" borderId="1" xfId="0" applyNumberFormat="1" applyFont="1" applyBorder="1" applyAlignment="1">
      <alignment horizontal="center" vertical="center" wrapText="1"/>
    </xf>
    <xf numFmtId="0" fontId="29" fillId="0" borderId="0" xfId="0" applyFont="1" applyAlignment="1">
      <alignment horizontal="center" vertical="center" wrapText="1"/>
    </xf>
    <xf numFmtId="164" fontId="29" fillId="0" borderId="0" xfId="0" applyNumberFormat="1" applyFont="1" applyAlignment="1">
      <alignment horizontal="center" vertical="center" wrapText="1"/>
    </xf>
    <xf numFmtId="165" fontId="18" fillId="0" borderId="0" xfId="0" applyNumberFormat="1" applyFont="1" applyAlignment="1">
      <alignment horizontal="center" vertical="center"/>
    </xf>
    <xf numFmtId="3" fontId="29" fillId="0" borderId="0" xfId="0" applyNumberFormat="1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 wrapText="1"/>
    </xf>
    <xf numFmtId="14" fontId="29" fillId="0" borderId="0" xfId="0" applyNumberFormat="1" applyFont="1" applyBorder="1" applyAlignment="1">
      <alignment horizontal="center" vertical="center" wrapText="1"/>
    </xf>
    <xf numFmtId="14" fontId="29" fillId="0" borderId="8" xfId="0" applyNumberFormat="1" applyFont="1" applyBorder="1" applyAlignment="1">
      <alignment horizontal="center" vertical="center" wrapText="1"/>
    </xf>
    <xf numFmtId="0" fontId="20" fillId="0" borderId="0" xfId="0" applyFont="1" applyAlignment="1"/>
    <xf numFmtId="2" fontId="29" fillId="0" borderId="1" xfId="0" applyNumberFormat="1" applyFont="1" applyBorder="1" applyAlignment="1">
      <alignment horizontal="center" vertical="center" wrapText="1"/>
    </xf>
    <xf numFmtId="165" fontId="26" fillId="8" borderId="15" xfId="0" applyNumberFormat="1" applyFont="1" applyFill="1" applyBorder="1" applyAlignment="1">
      <alignment horizontal="center" vertical="center"/>
    </xf>
    <xf numFmtId="0" fontId="19" fillId="0" borderId="0" xfId="0" applyFont="1" applyAlignment="1">
      <alignment horizontal="left" vertical="center"/>
    </xf>
    <xf numFmtId="164" fontId="20" fillId="0" borderId="0" xfId="0" applyNumberFormat="1" applyFont="1" applyAlignment="1">
      <alignment wrapText="1"/>
    </xf>
    <xf numFmtId="164" fontId="20" fillId="0" borderId="0" xfId="0" applyNumberFormat="1" applyFont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15" fillId="2" borderId="1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164" fontId="5" fillId="0" borderId="0" xfId="0" applyNumberFormat="1" applyFont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wrapText="1"/>
    </xf>
    <xf numFmtId="0" fontId="3" fillId="0" borderId="0" xfId="0" applyFont="1" applyAlignment="1">
      <alignment vertical="center" wrapText="1"/>
    </xf>
    <xf numFmtId="0" fontId="3" fillId="0" borderId="0" xfId="0" applyFont="1"/>
    <xf numFmtId="0" fontId="34" fillId="0" borderId="1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 vertical="center" wrapText="1"/>
    </xf>
    <xf numFmtId="164" fontId="35" fillId="0" borderId="1" xfId="0" applyNumberFormat="1" applyFont="1" applyBorder="1" applyAlignment="1">
      <alignment horizontal="center" vertical="center" wrapText="1"/>
    </xf>
    <xf numFmtId="164" fontId="34" fillId="0" borderId="1" xfId="0" applyNumberFormat="1" applyFont="1" applyBorder="1" applyAlignment="1">
      <alignment horizontal="center" vertical="center" wrapText="1"/>
    </xf>
    <xf numFmtId="0" fontId="38" fillId="0" borderId="0" xfId="0" applyFont="1"/>
    <xf numFmtId="0" fontId="3" fillId="0" borderId="0" xfId="0" applyFont="1"/>
    <xf numFmtId="0" fontId="39" fillId="10" borderId="13" xfId="0" applyFont="1" applyFill="1" applyBorder="1" applyAlignment="1">
      <alignment horizontal="center" vertical="center"/>
    </xf>
    <xf numFmtId="0" fontId="39" fillId="10" borderId="13" xfId="0" applyFont="1" applyFill="1" applyBorder="1" applyAlignment="1">
      <alignment horizontal="center" vertical="center" wrapText="1"/>
    </xf>
    <xf numFmtId="0" fontId="38" fillId="0" borderId="0" xfId="0" applyFont="1" applyAlignment="1">
      <alignment horizontal="center" vertical="center"/>
    </xf>
    <xf numFmtId="0" fontId="38" fillId="12" borderId="0" xfId="0" applyFont="1" applyFill="1" applyAlignment="1">
      <alignment horizontal="center" vertical="center" wrapText="1"/>
    </xf>
    <xf numFmtId="0" fontId="38" fillId="0" borderId="0" xfId="0" applyFont="1" applyAlignment="1">
      <alignment horizontal="center" vertical="center" wrapText="1"/>
    </xf>
    <xf numFmtId="0" fontId="38" fillId="12" borderId="0" xfId="0" applyFont="1" applyFill="1" applyAlignment="1">
      <alignment horizontal="center" vertical="center"/>
    </xf>
    <xf numFmtId="49" fontId="38" fillId="0" borderId="0" xfId="0" applyNumberFormat="1" applyFont="1" applyAlignment="1">
      <alignment horizontal="center" vertical="center"/>
    </xf>
    <xf numFmtId="0" fontId="39" fillId="0" borderId="0" xfId="0" applyFont="1" applyAlignment="1">
      <alignment vertical="center"/>
    </xf>
    <xf numFmtId="0" fontId="39" fillId="10" borderId="0" xfId="0" applyFont="1" applyFill="1" applyAlignment="1">
      <alignment horizontal="center" vertical="center"/>
    </xf>
    <xf numFmtId="165" fontId="39" fillId="10" borderId="0" xfId="0" applyNumberFormat="1" applyFont="1" applyFill="1" applyAlignment="1">
      <alignment horizontal="center" vertical="center"/>
    </xf>
    <xf numFmtId="0" fontId="38" fillId="0" borderId="0" xfId="0" applyFont="1" applyAlignment="1">
      <alignment horizontal="center"/>
    </xf>
    <xf numFmtId="0" fontId="42" fillId="0" borderId="0" xfId="0" applyFont="1"/>
    <xf numFmtId="164" fontId="43" fillId="2" borderId="0" xfId="0" applyNumberFormat="1" applyFont="1" applyFill="1" applyAlignment="1">
      <alignment horizontal="center"/>
    </xf>
    <xf numFmtId="0" fontId="11" fillId="5" borderId="0" xfId="0" applyFont="1" applyFill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  <xf numFmtId="164" fontId="7" fillId="2" borderId="0" xfId="0" applyNumberFormat="1" applyFont="1" applyFill="1" applyAlignment="1">
      <alignment horizontal="center" vertical="center" wrapText="1"/>
    </xf>
    <xf numFmtId="164" fontId="7" fillId="0" borderId="0" xfId="0" applyNumberFormat="1" applyFont="1" applyAlignment="1">
      <alignment horizontal="center" vertical="center" wrapText="1"/>
    </xf>
    <xf numFmtId="0" fontId="46" fillId="0" borderId="1" xfId="0" applyFont="1" applyBorder="1" applyAlignment="1">
      <alignment horizontal="center" vertical="center" wrapText="1"/>
    </xf>
    <xf numFmtId="0" fontId="19" fillId="13" borderId="1" xfId="0" applyFont="1" applyFill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164" fontId="19" fillId="2" borderId="0" xfId="0" applyNumberFormat="1" applyFont="1" applyFill="1" applyAlignment="1">
      <alignment horizontal="center"/>
    </xf>
    <xf numFmtId="0" fontId="19" fillId="0" borderId="0" xfId="0" applyFont="1" applyFill="1" applyAlignment="1"/>
    <xf numFmtId="0" fontId="48" fillId="0" borderId="0" xfId="0" applyFont="1"/>
    <xf numFmtId="0" fontId="45" fillId="0" borderId="0" xfId="0" applyFont="1"/>
    <xf numFmtId="0" fontId="8" fillId="0" borderId="0" xfId="0" applyFont="1"/>
    <xf numFmtId="164" fontId="2" fillId="2" borderId="0" xfId="0" applyNumberFormat="1" applyFont="1" applyFill="1" applyAlignment="1">
      <alignment horizontal="center" vertical="center"/>
    </xf>
    <xf numFmtId="3" fontId="46" fillId="0" borderId="1" xfId="0" applyNumberFormat="1" applyFont="1" applyBorder="1" applyAlignment="1">
      <alignment horizontal="center" vertical="center" wrapText="1"/>
    </xf>
    <xf numFmtId="0" fontId="47" fillId="0" borderId="1" xfId="0" applyFont="1" applyBorder="1" applyAlignment="1">
      <alignment horizontal="center" vertical="center" wrapText="1"/>
    </xf>
    <xf numFmtId="0" fontId="46" fillId="0" borderId="1" xfId="0" applyFont="1" applyBorder="1" applyAlignment="1">
      <alignment horizontal="center" vertical="center"/>
    </xf>
    <xf numFmtId="164" fontId="46" fillId="7" borderId="1" xfId="0" applyNumberFormat="1" applyFont="1" applyFill="1" applyBorder="1" applyAlignment="1">
      <alignment horizontal="center" vertical="center" wrapText="1"/>
    </xf>
    <xf numFmtId="164" fontId="47" fillId="5" borderId="1" xfId="0" applyNumberFormat="1" applyFont="1" applyFill="1" applyBorder="1" applyAlignment="1" applyProtection="1">
      <alignment horizontal="center" vertical="center" wrapText="1"/>
      <protection locked="0"/>
    </xf>
    <xf numFmtId="0" fontId="47" fillId="5" borderId="1" xfId="0" applyFont="1" applyFill="1" applyBorder="1" applyAlignment="1">
      <alignment horizontal="center" vertical="center" wrapText="1"/>
    </xf>
    <xf numFmtId="0" fontId="46" fillId="5" borderId="1" xfId="0" applyFont="1" applyFill="1" applyBorder="1" applyAlignment="1">
      <alignment horizontal="center" vertical="center" wrapText="1"/>
    </xf>
    <xf numFmtId="0" fontId="46" fillId="5" borderId="1" xfId="0" applyFont="1" applyFill="1" applyBorder="1" applyAlignment="1">
      <alignment horizontal="center" vertical="center"/>
    </xf>
    <xf numFmtId="0" fontId="46" fillId="5" borderId="1" xfId="0" applyFont="1" applyFill="1" applyBorder="1" applyAlignment="1" applyProtection="1">
      <alignment horizontal="center" vertical="center" wrapText="1"/>
      <protection locked="0"/>
    </xf>
    <xf numFmtId="0" fontId="3" fillId="0" borderId="0" xfId="0" applyFont="1" applyAlignment="1">
      <alignment horizontal="left"/>
    </xf>
    <xf numFmtId="0" fontId="40" fillId="0" borderId="0" xfId="0" applyFont="1" applyAlignment="1">
      <alignment horizontal="center"/>
    </xf>
    <xf numFmtId="0" fontId="41" fillId="0" borderId="0" xfId="0" applyFont="1" applyAlignment="1">
      <alignment horizontal="center" vertical="center" wrapText="1"/>
    </xf>
    <xf numFmtId="0" fontId="40" fillId="0" borderId="0" xfId="0" applyFont="1"/>
    <xf numFmtId="0" fontId="11" fillId="0" borderId="0" xfId="0" applyFont="1"/>
    <xf numFmtId="0" fontId="11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 wrapText="1"/>
    </xf>
    <xf numFmtId="165" fontId="1" fillId="0" borderId="0" xfId="0" applyNumberFormat="1" applyFont="1" applyAlignment="1">
      <alignment horizontal="center" vertical="center"/>
    </xf>
    <xf numFmtId="0" fontId="51" fillId="0" borderId="0" xfId="0" applyFont="1"/>
    <xf numFmtId="0" fontId="0" fillId="0" borderId="0" xfId="0" applyAlignment="1">
      <alignment vertical="center"/>
    </xf>
    <xf numFmtId="0" fontId="52" fillId="0" borderId="1" xfId="0" applyFont="1" applyBorder="1" applyAlignment="1">
      <alignment horizontal="center" vertical="center"/>
    </xf>
    <xf numFmtId="0" fontId="52" fillId="0" borderId="1" xfId="0" applyFont="1" applyBorder="1" applyAlignment="1">
      <alignment horizontal="center" vertical="center" wrapText="1"/>
    </xf>
    <xf numFmtId="14" fontId="52" fillId="0" borderId="1" xfId="0" applyNumberFormat="1" applyFont="1" applyBorder="1" applyAlignment="1">
      <alignment horizontal="center" vertical="center" wrapText="1"/>
    </xf>
    <xf numFmtId="2" fontId="54" fillId="0" borderId="1" xfId="0" applyNumberFormat="1" applyFont="1" applyBorder="1" applyAlignment="1">
      <alignment horizontal="center" vertical="center" wrapText="1"/>
    </xf>
    <xf numFmtId="0" fontId="54" fillId="0" borderId="1" xfId="0" applyFont="1" applyBorder="1" applyAlignment="1">
      <alignment horizontal="center" vertical="center" wrapText="1"/>
    </xf>
    <xf numFmtId="164" fontId="55" fillId="0" borderId="1" xfId="0" applyNumberFormat="1" applyFont="1" applyBorder="1" applyAlignment="1">
      <alignment horizontal="center" vertical="center" wrapText="1"/>
    </xf>
    <xf numFmtId="0" fontId="53" fillId="0" borderId="1" xfId="0" applyFont="1" applyBorder="1" applyAlignment="1">
      <alignment horizontal="center" vertical="center" wrapText="1"/>
    </xf>
    <xf numFmtId="0" fontId="52" fillId="5" borderId="1" xfId="0" applyFont="1" applyFill="1" applyBorder="1" applyAlignment="1">
      <alignment horizontal="center" vertical="center" wrapText="1"/>
    </xf>
    <xf numFmtId="165" fontId="53" fillId="11" borderId="1" xfId="0" applyNumberFormat="1" applyFont="1" applyFill="1" applyBorder="1" applyAlignment="1">
      <alignment horizontal="center" vertical="center"/>
    </xf>
    <xf numFmtId="0" fontId="52" fillId="0" borderId="1" xfId="0" applyFont="1" applyBorder="1" applyAlignment="1">
      <alignment vertical="center" wrapText="1"/>
    </xf>
    <xf numFmtId="14" fontId="54" fillId="0" borderId="1" xfId="0" applyNumberFormat="1" applyFont="1" applyBorder="1" applyAlignment="1">
      <alignment horizontal="center" vertical="center" wrapText="1"/>
    </xf>
    <xf numFmtId="3" fontId="52" fillId="0" borderId="1" xfId="0" applyNumberFormat="1" applyFont="1" applyBorder="1" applyAlignment="1">
      <alignment horizontal="center" vertical="center" wrapText="1"/>
    </xf>
    <xf numFmtId="164" fontId="52" fillId="7" borderId="1" xfId="0" applyNumberFormat="1" applyFont="1" applyFill="1" applyBorder="1" applyAlignment="1">
      <alignment horizontal="center" vertical="center" wrapText="1"/>
    </xf>
    <xf numFmtId="14" fontId="52" fillId="7" borderId="1" xfId="0" applyNumberFormat="1" applyFont="1" applyFill="1" applyBorder="1" applyAlignment="1">
      <alignment horizontal="center" vertical="center" wrapText="1"/>
    </xf>
    <xf numFmtId="164" fontId="52" fillId="0" borderId="1" xfId="0" applyNumberFormat="1" applyFont="1" applyBorder="1" applyAlignment="1">
      <alignment horizontal="center" vertical="center" wrapText="1"/>
    </xf>
    <xf numFmtId="164" fontId="53" fillId="0" borderId="1" xfId="0" applyNumberFormat="1" applyFont="1" applyBorder="1" applyAlignment="1">
      <alignment horizontal="center" vertical="center" wrapText="1"/>
    </xf>
    <xf numFmtId="0" fontId="52" fillId="7" borderId="1" xfId="0" applyFont="1" applyFill="1" applyBorder="1" applyAlignment="1">
      <alignment horizontal="center" vertical="center" wrapText="1"/>
    </xf>
    <xf numFmtId="0" fontId="55" fillId="0" borderId="1" xfId="0" applyFont="1" applyBorder="1" applyAlignment="1">
      <alignment horizontal="center" vertical="center" wrapText="1"/>
    </xf>
    <xf numFmtId="0" fontId="52" fillId="5" borderId="1" xfId="0" applyFont="1" applyFill="1" applyBorder="1" applyAlignment="1">
      <alignment horizontal="center" vertical="center"/>
    </xf>
    <xf numFmtId="49" fontId="52" fillId="0" borderId="1" xfId="0" applyNumberFormat="1" applyFont="1" applyBorder="1" applyAlignment="1">
      <alignment horizontal="center" vertical="center" wrapText="1"/>
    </xf>
    <xf numFmtId="3" fontId="50" fillId="0" borderId="1" xfId="18" applyNumberFormat="1" applyFont="1" applyBorder="1" applyAlignment="1">
      <alignment horizontal="center" vertical="center"/>
    </xf>
    <xf numFmtId="165" fontId="53" fillId="0" borderId="1" xfId="0" applyNumberFormat="1" applyFont="1" applyBorder="1" applyAlignment="1">
      <alignment horizontal="center" vertical="center" wrapText="1"/>
    </xf>
    <xf numFmtId="164" fontId="20" fillId="0" borderId="0" xfId="0" applyNumberFormat="1" applyFont="1" applyAlignment="1">
      <alignment vertical="center"/>
    </xf>
    <xf numFmtId="0" fontId="20" fillId="0" borderId="1" xfId="0" applyFont="1" applyBorder="1" applyAlignment="1">
      <alignment horizontal="center" vertical="center"/>
    </xf>
    <xf numFmtId="0" fontId="57" fillId="0" borderId="1" xfId="36" applyFont="1" applyFill="1" applyBorder="1" applyAlignment="1">
      <alignment vertical="center" wrapText="1"/>
    </xf>
    <xf numFmtId="14" fontId="20" fillId="0" borderId="1" xfId="0" applyNumberFormat="1" applyFont="1" applyBorder="1" applyAlignment="1">
      <alignment horizontal="center" vertical="center" wrapText="1"/>
    </xf>
    <xf numFmtId="164" fontId="20" fillId="0" borderId="1" xfId="0" applyNumberFormat="1" applyFont="1" applyBorder="1" applyAlignment="1">
      <alignment horizontal="center" vertical="center" wrapText="1"/>
    </xf>
    <xf numFmtId="164" fontId="19" fillId="0" borderId="1" xfId="0" applyNumberFormat="1" applyFont="1" applyFill="1" applyBorder="1" applyAlignment="1">
      <alignment horizontal="center" vertical="center" wrapText="1"/>
    </xf>
    <xf numFmtId="49" fontId="20" fillId="0" borderId="1" xfId="0" applyNumberFormat="1" applyFont="1" applyBorder="1" applyAlignment="1">
      <alignment horizontal="center" vertical="center" wrapText="1"/>
    </xf>
    <xf numFmtId="0" fontId="20" fillId="0" borderId="1" xfId="0" applyFont="1" applyBorder="1" applyAlignment="1">
      <alignment vertical="center" wrapText="1"/>
    </xf>
    <xf numFmtId="0" fontId="58" fillId="0" borderId="1" xfId="36" applyFont="1" applyFill="1" applyBorder="1" applyAlignment="1">
      <alignment vertical="center" wrapText="1"/>
    </xf>
    <xf numFmtId="0" fontId="20" fillId="0" borderId="3" xfId="0" applyFont="1" applyFill="1" applyBorder="1" applyAlignment="1">
      <alignment horizontal="center" vertical="center" wrapText="1"/>
    </xf>
    <xf numFmtId="3" fontId="29" fillId="0" borderId="3" xfId="0" applyNumberFormat="1" applyFont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 wrapText="1"/>
    </xf>
    <xf numFmtId="0" fontId="59" fillId="0" borderId="3" xfId="0" applyFont="1" applyBorder="1" applyAlignment="1">
      <alignment horizontal="center" vertical="center" wrapText="1"/>
    </xf>
    <xf numFmtId="166" fontId="29" fillId="0" borderId="3" xfId="0" applyNumberFormat="1" applyFont="1" applyBorder="1" applyAlignment="1">
      <alignment horizontal="center" vertical="center" wrapText="1"/>
    </xf>
    <xf numFmtId="164" fontId="18" fillId="0" borderId="3" xfId="0" applyNumberFormat="1" applyFont="1" applyBorder="1" applyAlignment="1">
      <alignment horizontal="center" vertical="center" wrapText="1"/>
    </xf>
    <xf numFmtId="0" fontId="20" fillId="0" borderId="3" xfId="0" applyFont="1" applyFill="1" applyBorder="1" applyAlignment="1">
      <alignment horizontal="center" vertical="center"/>
    </xf>
    <xf numFmtId="0" fontId="20" fillId="14" borderId="19" xfId="0" applyFont="1" applyFill="1" applyBorder="1" applyAlignment="1">
      <alignment horizontal="center" vertical="center" wrapText="1"/>
    </xf>
    <xf numFmtId="164" fontId="19" fillId="14" borderId="19" xfId="0" applyNumberFormat="1" applyFont="1" applyFill="1" applyBorder="1" applyAlignment="1">
      <alignment horizontal="center" vertical="center" wrapText="1"/>
    </xf>
    <xf numFmtId="0" fontId="20" fillId="14" borderId="19" xfId="0" applyFont="1" applyFill="1" applyBorder="1" applyAlignment="1">
      <alignment horizontal="center" vertical="center"/>
    </xf>
    <xf numFmtId="0" fontId="19" fillId="14" borderId="19" xfId="0" applyFont="1" applyFill="1" applyBorder="1" applyAlignment="1">
      <alignment horizontal="left" vertical="center" wrapText="1"/>
    </xf>
    <xf numFmtId="0" fontId="20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52" fillId="0" borderId="1" xfId="0" applyFont="1" applyFill="1" applyBorder="1" applyAlignment="1">
      <alignment horizontal="center" vertical="center"/>
    </xf>
    <xf numFmtId="0" fontId="53" fillId="0" borderId="1" xfId="0" applyFont="1" applyFill="1" applyBorder="1" applyAlignment="1">
      <alignment horizontal="center" vertical="center" wrapText="1"/>
    </xf>
    <xf numFmtId="0" fontId="52" fillId="0" borderId="1" xfId="0" applyFont="1" applyFill="1" applyBorder="1" applyAlignment="1">
      <alignment horizontal="center" vertical="center" wrapText="1"/>
    </xf>
    <xf numFmtId="0" fontId="20" fillId="0" borderId="14" xfId="0" applyFont="1" applyFill="1" applyBorder="1" applyAlignment="1">
      <alignment horizontal="left" vertical="center" wrapText="1"/>
    </xf>
    <xf numFmtId="0" fontId="19" fillId="0" borderId="1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0" fontId="20" fillId="0" borderId="0" xfId="0" applyFont="1"/>
    <xf numFmtId="14" fontId="20" fillId="0" borderId="1" xfId="0" applyNumberFormat="1" applyFont="1" applyBorder="1" applyAlignment="1">
      <alignment horizontal="center" vertical="center" wrapText="1"/>
    </xf>
    <xf numFmtId="0" fontId="20" fillId="0" borderId="3" xfId="0" applyFont="1" applyFill="1" applyBorder="1" applyAlignment="1">
      <alignment horizontal="center" vertical="center"/>
    </xf>
    <xf numFmtId="3" fontId="20" fillId="0" borderId="3" xfId="0" applyNumberFormat="1" applyFont="1" applyFill="1" applyBorder="1" applyAlignment="1">
      <alignment horizontal="center" vertical="center"/>
    </xf>
    <xf numFmtId="166" fontId="20" fillId="0" borderId="3" xfId="0" applyNumberFormat="1" applyFont="1" applyFill="1" applyBorder="1" applyAlignment="1">
      <alignment horizontal="center" vertical="center"/>
    </xf>
    <xf numFmtId="164" fontId="20" fillId="0" borderId="3" xfId="0" applyNumberFormat="1" applyFont="1" applyFill="1" applyBorder="1" applyAlignment="1">
      <alignment horizontal="center" vertical="center"/>
    </xf>
    <xf numFmtId="164" fontId="22" fillId="0" borderId="15" xfId="0" applyNumberFormat="1" applyFont="1" applyFill="1" applyBorder="1" applyAlignment="1">
      <alignment horizontal="center" vertical="center"/>
    </xf>
    <xf numFmtId="0" fontId="19" fillId="0" borderId="3" xfId="0" applyFont="1" applyFill="1" applyBorder="1" applyAlignment="1">
      <alignment horizontal="center" vertical="center"/>
    </xf>
    <xf numFmtId="164" fontId="20" fillId="0" borderId="15" xfId="0" applyNumberFormat="1" applyFont="1" applyFill="1" applyBorder="1" applyAlignment="1">
      <alignment horizontal="center" vertical="center"/>
    </xf>
    <xf numFmtId="165" fontId="20" fillId="0" borderId="15" xfId="0" applyNumberFormat="1" applyFont="1" applyFill="1" applyBorder="1" applyAlignment="1">
      <alignment horizontal="center" vertical="center"/>
    </xf>
    <xf numFmtId="165" fontId="19" fillId="0" borderId="15" xfId="0" applyNumberFormat="1" applyFont="1" applyFill="1" applyBorder="1" applyAlignment="1">
      <alignment horizontal="center" vertical="center"/>
    </xf>
    <xf numFmtId="165" fontId="20" fillId="0" borderId="15" xfId="0" applyNumberFormat="1" applyFont="1" applyFill="1" applyBorder="1" applyAlignment="1">
      <alignment horizontal="center" vertical="center" wrapText="1"/>
    </xf>
    <xf numFmtId="0" fontId="20" fillId="0" borderId="3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19" fillId="15" borderId="1" xfId="0" applyFont="1" applyFill="1" applyBorder="1" applyAlignment="1">
      <alignment horizontal="center" vertical="center"/>
    </xf>
    <xf numFmtId="0" fontId="19" fillId="15" borderId="1" xfId="0" applyFont="1" applyFill="1" applyBorder="1" applyAlignment="1">
      <alignment horizontal="center" vertical="center" wrapText="1"/>
    </xf>
    <xf numFmtId="4" fontId="19" fillId="16" borderId="1" xfId="0" applyNumberFormat="1" applyFont="1" applyFill="1" applyBorder="1" applyAlignment="1">
      <alignment horizontal="center" vertical="center" wrapText="1"/>
    </xf>
    <xf numFmtId="0" fontId="19" fillId="16" borderId="1" xfId="0" applyFont="1" applyFill="1" applyBorder="1" applyAlignment="1">
      <alignment horizontal="center" vertical="center" wrapText="1"/>
    </xf>
    <xf numFmtId="0" fontId="19" fillId="17" borderId="1" xfId="0" applyFont="1" applyFill="1" applyBorder="1" applyAlignment="1">
      <alignment horizontal="center" vertical="center" wrapText="1"/>
    </xf>
    <xf numFmtId="0" fontId="20" fillId="8" borderId="1" xfId="0" applyFont="1" applyFill="1" applyBorder="1" applyAlignment="1">
      <alignment horizontal="center" vertical="center"/>
    </xf>
    <xf numFmtId="0" fontId="20" fillId="8" borderId="1" xfId="0" applyFont="1" applyFill="1" applyBorder="1" applyAlignment="1">
      <alignment horizontal="left" vertical="center"/>
    </xf>
    <xf numFmtId="0" fontId="20" fillId="8" borderId="1" xfId="0" applyFont="1" applyFill="1" applyBorder="1" applyAlignment="1">
      <alignment horizontal="left" vertical="center" wrapText="1"/>
    </xf>
    <xf numFmtId="14" fontId="20" fillId="8" borderId="1" xfId="0" applyNumberFormat="1" applyFont="1" applyFill="1" applyBorder="1" applyAlignment="1">
      <alignment horizontal="center" vertical="center" wrapText="1"/>
    </xf>
    <xf numFmtId="0" fontId="20" fillId="8" borderId="1" xfId="0" applyFont="1" applyFill="1" applyBorder="1" applyAlignment="1">
      <alignment horizontal="center" vertical="center" wrapText="1"/>
    </xf>
    <xf numFmtId="4" fontId="20" fillId="8" borderId="1" xfId="0" applyNumberFormat="1" applyFont="1" applyFill="1" applyBorder="1" applyAlignment="1">
      <alignment horizontal="center" vertical="center" wrapText="1"/>
    </xf>
    <xf numFmtId="164" fontId="20" fillId="8" borderId="1" xfId="0" applyNumberFormat="1" applyFont="1" applyFill="1" applyBorder="1" applyAlignment="1">
      <alignment horizontal="center" vertical="center"/>
    </xf>
    <xf numFmtId="0" fontId="20" fillId="0" borderId="1" xfId="0" applyFont="1" applyBorder="1" applyAlignment="1">
      <alignment horizontal="left" vertical="center"/>
    </xf>
    <xf numFmtId="0" fontId="31" fillId="0" borderId="1" xfId="0" applyFont="1" applyBorder="1" applyAlignment="1">
      <alignment horizontal="center" vertical="center"/>
    </xf>
    <xf numFmtId="0" fontId="31" fillId="0" borderId="1" xfId="0" applyFont="1" applyBorder="1" applyAlignment="1">
      <alignment horizontal="left" vertical="center"/>
    </xf>
    <xf numFmtId="14" fontId="20" fillId="0" borderId="1" xfId="0" applyNumberFormat="1" applyFont="1" applyBorder="1" applyAlignment="1">
      <alignment horizontal="center" vertical="center"/>
    </xf>
    <xf numFmtId="0" fontId="20" fillId="0" borderId="1" xfId="0" applyFont="1" applyBorder="1" applyAlignment="1">
      <alignment horizontal="left" vertical="center" wrapText="1"/>
    </xf>
    <xf numFmtId="1" fontId="20" fillId="0" borderId="1" xfId="0" applyNumberFormat="1" applyFont="1" applyBorder="1" applyAlignment="1">
      <alignment horizontal="center" vertical="center" wrapText="1"/>
    </xf>
    <xf numFmtId="1" fontId="20" fillId="0" borderId="1" xfId="0" applyNumberFormat="1" applyFont="1" applyBorder="1" applyAlignment="1">
      <alignment horizontal="center" vertical="center"/>
    </xf>
    <xf numFmtId="0" fontId="20" fillId="4" borderId="1" xfId="0" applyFont="1" applyFill="1" applyBorder="1" applyAlignment="1">
      <alignment horizontal="center" vertical="center"/>
    </xf>
    <xf numFmtId="0" fontId="20" fillId="4" borderId="1" xfId="0" applyFont="1" applyFill="1" applyBorder="1" applyAlignment="1">
      <alignment horizontal="left" vertical="center" wrapText="1"/>
    </xf>
    <xf numFmtId="0" fontId="20" fillId="4" borderId="1" xfId="0" applyFont="1" applyFill="1" applyBorder="1" applyAlignment="1">
      <alignment horizontal="left" vertical="center"/>
    </xf>
    <xf numFmtId="14" fontId="20" fillId="4" borderId="1" xfId="0" applyNumberFormat="1" applyFont="1" applyFill="1" applyBorder="1" applyAlignment="1">
      <alignment horizontal="center" vertical="center"/>
    </xf>
    <xf numFmtId="0" fontId="20" fillId="4" borderId="1" xfId="0" applyFont="1" applyFill="1" applyBorder="1" applyAlignment="1">
      <alignment horizontal="center" vertical="center" wrapText="1"/>
    </xf>
    <xf numFmtId="2" fontId="20" fillId="0" borderId="1" xfId="0" applyNumberFormat="1" applyFont="1" applyBorder="1" applyAlignment="1">
      <alignment horizontal="center" vertical="center"/>
    </xf>
    <xf numFmtId="14" fontId="31" fillId="0" borderId="1" xfId="0" applyNumberFormat="1" applyFont="1" applyBorder="1" applyAlignment="1">
      <alignment horizontal="center" vertical="center"/>
    </xf>
    <xf numFmtId="4" fontId="20" fillId="0" borderId="1" xfId="0" applyNumberFormat="1" applyFont="1" applyBorder="1" applyAlignment="1">
      <alignment horizontal="center" vertical="center"/>
    </xf>
    <xf numFmtId="14" fontId="20" fillId="4" borderId="1" xfId="0" applyNumberFormat="1" applyFont="1" applyFill="1" applyBorder="1" applyAlignment="1">
      <alignment horizontal="center" vertical="center" wrapText="1"/>
    </xf>
    <xf numFmtId="2" fontId="20" fillId="4" borderId="1" xfId="0" applyNumberFormat="1" applyFont="1" applyFill="1" applyBorder="1" applyAlignment="1">
      <alignment horizontal="center" vertical="center"/>
    </xf>
    <xf numFmtId="1" fontId="31" fillId="0" borderId="1" xfId="0" applyNumberFormat="1" applyFont="1" applyBorder="1" applyAlignment="1">
      <alignment horizontal="center" vertical="center"/>
    </xf>
    <xf numFmtId="0" fontId="20" fillId="14" borderId="1" xfId="0" applyFont="1" applyFill="1" applyBorder="1" applyAlignment="1">
      <alignment horizontal="center" vertical="center"/>
    </xf>
    <xf numFmtId="0" fontId="20" fillId="14" borderId="1" xfId="0" applyFont="1" applyFill="1" applyBorder="1" applyAlignment="1">
      <alignment horizontal="left" vertical="center" wrapText="1"/>
    </xf>
    <xf numFmtId="0" fontId="20" fillId="14" borderId="1" xfId="0" applyFont="1" applyFill="1" applyBorder="1" applyAlignment="1">
      <alignment horizontal="left" vertical="center"/>
    </xf>
    <xf numFmtId="14" fontId="20" fillId="14" borderId="1" xfId="0" applyNumberFormat="1" applyFont="1" applyFill="1" applyBorder="1" applyAlignment="1">
      <alignment horizontal="center" vertical="center"/>
    </xf>
    <xf numFmtId="0" fontId="20" fillId="14" borderId="1" xfId="0" applyFont="1" applyFill="1" applyBorder="1" applyAlignment="1">
      <alignment horizontal="center" vertical="center" wrapText="1"/>
    </xf>
    <xf numFmtId="0" fontId="20" fillId="0" borderId="1" xfId="0" applyFont="1" applyBorder="1" applyAlignment="1">
      <alignment vertical="center"/>
    </xf>
    <xf numFmtId="4" fontId="20" fillId="4" borderId="1" xfId="0" applyNumberFormat="1" applyFont="1" applyFill="1" applyBorder="1" applyAlignment="1">
      <alignment horizontal="center" vertical="center"/>
    </xf>
    <xf numFmtId="2" fontId="20" fillId="4" borderId="1" xfId="0" applyNumberFormat="1" applyFont="1" applyFill="1" applyBorder="1" applyAlignment="1">
      <alignment horizontal="center" vertical="center" wrapText="1"/>
    </xf>
    <xf numFmtId="1" fontId="20" fillId="14" borderId="1" xfId="0" applyNumberFormat="1" applyFont="1" applyFill="1" applyBorder="1" applyAlignment="1">
      <alignment horizontal="center" vertical="center"/>
    </xf>
    <xf numFmtId="14" fontId="20" fillId="14" borderId="1" xfId="0" applyNumberFormat="1" applyFont="1" applyFill="1" applyBorder="1" applyAlignment="1">
      <alignment horizontal="center" vertical="center" wrapText="1"/>
    </xf>
    <xf numFmtId="4" fontId="20" fillId="14" borderId="1" xfId="0" applyNumberFormat="1" applyFont="1" applyFill="1" applyBorder="1" applyAlignment="1">
      <alignment horizontal="center" vertical="center"/>
    </xf>
    <xf numFmtId="14" fontId="20" fillId="8" borderId="1" xfId="0" applyNumberFormat="1" applyFont="1" applyFill="1" applyBorder="1" applyAlignment="1">
      <alignment horizontal="center" vertical="center"/>
    </xf>
    <xf numFmtId="1" fontId="20" fillId="8" borderId="1" xfId="0" applyNumberFormat="1" applyFont="1" applyFill="1" applyBorder="1" applyAlignment="1">
      <alignment horizontal="center" vertical="center"/>
    </xf>
    <xf numFmtId="4" fontId="20" fillId="8" borderId="1" xfId="0" applyNumberFormat="1" applyFont="1" applyFill="1" applyBorder="1" applyAlignment="1">
      <alignment horizontal="center" vertical="center"/>
    </xf>
    <xf numFmtId="1" fontId="20" fillId="4" borderId="1" xfId="0" applyNumberFormat="1" applyFont="1" applyFill="1" applyBorder="1" applyAlignment="1">
      <alignment horizontal="center" vertical="center"/>
    </xf>
    <xf numFmtId="0" fontId="20" fillId="4" borderId="1" xfId="0" applyFont="1" applyFill="1" applyBorder="1" applyAlignment="1">
      <alignment vertical="center"/>
    </xf>
    <xf numFmtId="2" fontId="20" fillId="0" borderId="1" xfId="0" applyNumberFormat="1" applyFont="1" applyBorder="1" applyAlignment="1">
      <alignment horizontal="center" vertical="center" wrapText="1"/>
    </xf>
    <xf numFmtId="0" fontId="19" fillId="0" borderId="1" xfId="0" applyFont="1" applyBorder="1" applyAlignment="1">
      <alignment horizontal="left" vertical="center" wrapText="1"/>
    </xf>
    <xf numFmtId="49" fontId="20" fillId="0" borderId="1" xfId="0" applyNumberFormat="1" applyFont="1" applyBorder="1" applyAlignment="1">
      <alignment horizontal="center" vertical="center"/>
    </xf>
    <xf numFmtId="0" fontId="20" fillId="18" borderId="14" xfId="0" applyFont="1" applyFill="1" applyBorder="1" applyAlignment="1">
      <alignment horizontal="center" vertical="center" wrapText="1"/>
    </xf>
    <xf numFmtId="0" fontId="29" fillId="0" borderId="17" xfId="0" applyFont="1" applyBorder="1" applyAlignment="1">
      <alignment vertical="center"/>
    </xf>
    <xf numFmtId="0" fontId="29" fillId="0" borderId="0" xfId="0" applyFont="1" applyAlignment="1">
      <alignment vertical="center"/>
    </xf>
    <xf numFmtId="0" fontId="20" fillId="19" borderId="14" xfId="0" applyFont="1" applyFill="1" applyBorder="1" applyAlignment="1">
      <alignment horizontal="center" vertical="center" wrapText="1"/>
    </xf>
    <xf numFmtId="0" fontId="20" fillId="20" borderId="14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left" vertical="center"/>
    </xf>
    <xf numFmtId="0" fontId="19" fillId="0" borderId="0" xfId="0" applyFont="1" applyAlignment="1">
      <alignment vertical="center" wrapText="1"/>
    </xf>
    <xf numFmtId="0" fontId="19" fillId="15" borderId="9" xfId="0" applyFont="1" applyFill="1" applyBorder="1" applyAlignment="1">
      <alignment horizontal="center" vertical="center"/>
    </xf>
    <xf numFmtId="0" fontId="19" fillId="15" borderId="9" xfId="0" applyFont="1" applyFill="1" applyBorder="1" applyAlignment="1">
      <alignment horizontal="center" vertical="center" wrapText="1"/>
    </xf>
    <xf numFmtId="4" fontId="19" fillId="16" borderId="9" xfId="0" applyNumberFormat="1" applyFont="1" applyFill="1" applyBorder="1" applyAlignment="1">
      <alignment horizontal="center" vertical="center" wrapText="1"/>
    </xf>
    <xf numFmtId="0" fontId="19" fillId="16" borderId="9" xfId="0" applyFont="1" applyFill="1" applyBorder="1" applyAlignment="1">
      <alignment horizontal="center" vertical="center" wrapText="1"/>
    </xf>
    <xf numFmtId="0" fontId="19" fillId="17" borderId="9" xfId="0" applyFont="1" applyFill="1" applyBorder="1" applyAlignment="1">
      <alignment horizontal="center" vertical="center" wrapText="1"/>
    </xf>
    <xf numFmtId="0" fontId="31" fillId="0" borderId="1" xfId="0" applyFont="1" applyBorder="1" applyAlignment="1">
      <alignment horizontal="left" vertical="center" wrapText="1"/>
    </xf>
    <xf numFmtId="0" fontId="19" fillId="15" borderId="2" xfId="0" applyFont="1" applyFill="1" applyBorder="1" applyAlignment="1">
      <alignment horizontal="center" vertical="center"/>
    </xf>
    <xf numFmtId="0" fontId="19" fillId="15" borderId="2" xfId="0" applyFont="1" applyFill="1" applyBorder="1" applyAlignment="1">
      <alignment horizontal="center" vertical="center" wrapText="1"/>
    </xf>
    <xf numFmtId="4" fontId="19" fillId="16" borderId="2" xfId="0" applyNumberFormat="1" applyFont="1" applyFill="1" applyBorder="1" applyAlignment="1">
      <alignment horizontal="center" vertical="center" wrapText="1"/>
    </xf>
    <xf numFmtId="0" fontId="19" fillId="16" borderId="2" xfId="0" applyFont="1" applyFill="1" applyBorder="1" applyAlignment="1">
      <alignment horizontal="center" vertical="center" wrapText="1"/>
    </xf>
    <xf numFmtId="0" fontId="19" fillId="17" borderId="2" xfId="0" applyFont="1" applyFill="1" applyBorder="1" applyAlignment="1">
      <alignment horizontal="center" vertical="center" wrapText="1"/>
    </xf>
    <xf numFmtId="164" fontId="20" fillId="0" borderId="1" xfId="0" applyNumberFormat="1" applyFont="1" applyBorder="1" applyAlignment="1">
      <alignment horizontal="center" vertical="center"/>
    </xf>
    <xf numFmtId="0" fontId="20" fillId="0" borderId="18" xfId="0" applyFont="1" applyBorder="1" applyAlignment="1">
      <alignment vertical="center"/>
    </xf>
    <xf numFmtId="0" fontId="20" fillId="0" borderId="18" xfId="0" applyFont="1" applyBorder="1" applyAlignment="1">
      <alignment vertical="center" wrapText="1"/>
    </xf>
    <xf numFmtId="0" fontId="20" fillId="0" borderId="18" xfId="0" applyFont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/>
    </xf>
    <xf numFmtId="0" fontId="26" fillId="0" borderId="1" xfId="0" applyFont="1" applyBorder="1" applyAlignment="1">
      <alignment vertical="center" wrapText="1"/>
    </xf>
    <xf numFmtId="0" fontId="26" fillId="0" borderId="1" xfId="0" applyFont="1" applyBorder="1" applyAlignment="1">
      <alignment horizontal="center" vertical="center" wrapText="1"/>
    </xf>
    <xf numFmtId="0" fontId="60" fillId="0" borderId="1" xfId="36" applyFont="1" applyFill="1" applyBorder="1" applyAlignment="1">
      <alignment vertical="center" wrapText="1"/>
    </xf>
    <xf numFmtId="0" fontId="24" fillId="0" borderId="1" xfId="0" applyFont="1" applyBorder="1" applyAlignment="1">
      <alignment horizontal="center" vertical="center" wrapText="1"/>
    </xf>
    <xf numFmtId="14" fontId="26" fillId="0" borderId="1" xfId="0" applyNumberFormat="1" applyFont="1" applyBorder="1" applyAlignment="1">
      <alignment horizontal="center" vertical="center" wrapText="1"/>
    </xf>
    <xf numFmtId="164" fontId="26" fillId="0" borderId="1" xfId="0" applyNumberFormat="1" applyFont="1" applyBorder="1" applyAlignment="1">
      <alignment horizontal="center" vertical="center" wrapText="1"/>
    </xf>
    <xf numFmtId="164" fontId="24" fillId="0" borderId="1" xfId="0" applyNumberFormat="1" applyFont="1" applyFill="1" applyBorder="1" applyAlignment="1">
      <alignment horizontal="center" vertical="center" wrapText="1"/>
    </xf>
    <xf numFmtId="49" fontId="26" fillId="0" borderId="1" xfId="0" applyNumberFormat="1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 wrapText="1"/>
    </xf>
    <xf numFmtId="0" fontId="20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164" fontId="24" fillId="0" borderId="1" xfId="0" applyNumberFormat="1" applyFont="1" applyBorder="1" applyAlignment="1">
      <alignment horizontal="center" vertical="center" wrapText="1"/>
    </xf>
    <xf numFmtId="49" fontId="20" fillId="0" borderId="0" xfId="0" applyNumberFormat="1" applyFont="1" applyAlignment="1">
      <alignment horizontal="center" vertical="center" wrapText="1"/>
    </xf>
    <xf numFmtId="0" fontId="20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 wrapText="1"/>
    </xf>
    <xf numFmtId="0" fontId="29" fillId="0" borderId="0" xfId="0" applyFont="1" applyAlignment="1">
      <alignment horizontal="center" vertical="center"/>
    </xf>
    <xf numFmtId="0" fontId="20" fillId="0" borderId="0" xfId="0" applyFont="1" applyAlignment="1">
      <alignment vertical="center"/>
    </xf>
    <xf numFmtId="0" fontId="18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9" fillId="6" borderId="6" xfId="0" applyFont="1" applyFill="1" applyBorder="1" applyAlignment="1">
      <alignment horizontal="center" vertical="center" wrapText="1"/>
    </xf>
    <xf numFmtId="0" fontId="19" fillId="6" borderId="7" xfId="0" applyFont="1" applyFill="1" applyBorder="1" applyAlignment="1">
      <alignment horizontal="center" vertical="center" wrapText="1"/>
    </xf>
    <xf numFmtId="0" fontId="19" fillId="6" borderId="8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34" fillId="0" borderId="1" xfId="0" applyFont="1" applyBorder="1" applyAlignment="1">
      <alignment horizontal="center" vertical="center" wrapText="1"/>
    </xf>
    <xf numFmtId="0" fontId="34" fillId="5" borderId="1" xfId="0" applyFont="1" applyFill="1" applyBorder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49" fontId="34" fillId="0" borderId="1" xfId="0" applyNumberFormat="1" applyFont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39" fillId="0" borderId="0" xfId="0" applyFont="1" applyAlignment="1">
      <alignment horizontal="center"/>
    </xf>
    <xf numFmtId="0" fontId="3" fillId="0" borderId="0" xfId="0" applyFont="1"/>
    <xf numFmtId="0" fontId="52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20" fillId="0" borderId="0" xfId="0" applyFont="1" applyAlignment="1">
      <alignment horizontal="center" wrapText="1"/>
    </xf>
    <xf numFmtId="0" fontId="19" fillId="4" borderId="0" xfId="0" applyFont="1" applyFill="1" applyAlignment="1">
      <alignment horizontal="center" vertical="center"/>
    </xf>
    <xf numFmtId="0" fontId="29" fillId="0" borderId="0" xfId="0" applyFont="1" applyAlignment="1">
      <alignment horizontal="center" vertical="center"/>
    </xf>
    <xf numFmtId="166" fontId="52" fillId="0" borderId="1" xfId="0" applyNumberFormat="1" applyFont="1" applyBorder="1" applyAlignment="1">
      <alignment horizontal="center" vertical="center" wrapText="1"/>
    </xf>
    <xf numFmtId="0" fontId="43" fillId="2" borderId="0" xfId="0" applyFont="1" applyFill="1" applyAlignment="1">
      <alignment horizontal="center"/>
    </xf>
    <xf numFmtId="0" fontId="19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/>
    </xf>
    <xf numFmtId="0" fontId="46" fillId="5" borderId="2" xfId="0" applyFont="1" applyFill="1" applyBorder="1" applyAlignment="1" applyProtection="1">
      <alignment horizontal="center" vertical="center" wrapText="1"/>
      <protection locked="0"/>
    </xf>
    <xf numFmtId="0" fontId="46" fillId="5" borderId="4" xfId="0" applyFont="1" applyFill="1" applyBorder="1" applyAlignment="1" applyProtection="1">
      <alignment horizontal="center" vertical="center" wrapText="1"/>
      <protection locked="0"/>
    </xf>
    <xf numFmtId="0" fontId="46" fillId="5" borderId="5" xfId="0" applyFont="1" applyFill="1" applyBorder="1" applyAlignment="1" applyProtection="1">
      <alignment horizontal="center" vertical="center" wrapText="1"/>
      <protection locked="0"/>
    </xf>
    <xf numFmtId="49" fontId="46" fillId="5" borderId="2" xfId="0" applyNumberFormat="1" applyFont="1" applyFill="1" applyBorder="1" applyAlignment="1">
      <alignment horizontal="center" vertical="center" wrapText="1"/>
    </xf>
    <xf numFmtId="49" fontId="46" fillId="5" borderId="4" xfId="0" applyNumberFormat="1" applyFont="1" applyFill="1" applyBorder="1" applyAlignment="1">
      <alignment horizontal="center" vertical="center" wrapText="1"/>
    </xf>
    <xf numFmtId="49" fontId="46" fillId="5" borderId="5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5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4" fontId="52" fillId="0" borderId="1" xfId="0" applyNumberFormat="1" applyFont="1" applyBorder="1" applyAlignment="1">
      <alignment horizontal="center" vertical="center" wrapText="1"/>
    </xf>
    <xf numFmtId="0" fontId="53" fillId="0" borderId="1" xfId="0" applyFont="1" applyBorder="1" applyAlignment="1">
      <alignment horizontal="center" vertical="center" wrapText="1"/>
    </xf>
    <xf numFmtId="14" fontId="52" fillId="7" borderId="1" xfId="0" applyNumberFormat="1" applyFont="1" applyFill="1" applyBorder="1" applyAlignment="1">
      <alignment horizontal="center" vertical="center" wrapText="1"/>
    </xf>
    <xf numFmtId="49" fontId="52" fillId="0" borderId="1" xfId="0" applyNumberFormat="1" applyFont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/>
    </xf>
    <xf numFmtId="0" fontId="29" fillId="4" borderId="1" xfId="0" applyFont="1" applyFill="1" applyBorder="1"/>
    <xf numFmtId="0" fontId="19" fillId="4" borderId="15" xfId="0" applyFont="1" applyFill="1" applyBorder="1" applyAlignment="1">
      <alignment horizontal="center" vertical="center"/>
    </xf>
    <xf numFmtId="0" fontId="19" fillId="4" borderId="16" xfId="0" applyFont="1" applyFill="1" applyBorder="1" applyAlignment="1">
      <alignment horizontal="center" vertical="center"/>
    </xf>
    <xf numFmtId="0" fontId="19" fillId="4" borderId="14" xfId="0" applyFont="1" applyFill="1" applyBorder="1" applyAlignment="1">
      <alignment horizontal="center" vertical="center"/>
    </xf>
    <xf numFmtId="0" fontId="29" fillId="4" borderId="1" xfId="0" applyFont="1" applyFill="1" applyBorder="1" applyAlignment="1">
      <alignment horizontal="center" vertical="center"/>
    </xf>
    <xf numFmtId="0" fontId="19" fillId="4" borderId="1" xfId="41" applyFont="1" applyFill="1" applyBorder="1" applyAlignment="1">
      <alignment horizontal="center" vertical="center"/>
    </xf>
    <xf numFmtId="0" fontId="20" fillId="0" borderId="17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19" fillId="0" borderId="0" xfId="0" applyFont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1" xfId="0" applyFont="1" applyBorder="1" applyAlignment="1">
      <alignment horizontal="center" vertical="center" wrapText="1"/>
    </xf>
    <xf numFmtId="0" fontId="22" fillId="0" borderId="23" xfId="0" applyFont="1" applyBorder="1" applyAlignment="1">
      <alignment horizontal="center" vertical="center"/>
    </xf>
    <xf numFmtId="0" fontId="19" fillId="0" borderId="21" xfId="0" applyFont="1" applyBorder="1" applyAlignment="1">
      <alignment horizontal="center" vertical="center"/>
    </xf>
    <xf numFmtId="164" fontId="20" fillId="0" borderId="22" xfId="0" applyNumberFormat="1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19" fillId="0" borderId="21" xfId="0" applyFont="1" applyBorder="1" applyAlignment="1">
      <alignment horizontal="center" vertical="center" wrapText="1"/>
    </xf>
    <xf numFmtId="0" fontId="19" fillId="0" borderId="0" xfId="0" applyFont="1"/>
    <xf numFmtId="3" fontId="20" fillId="0" borderId="0" xfId="0" applyNumberFormat="1" applyFont="1" applyAlignment="1">
      <alignment horizontal="center" vertical="center" wrapText="1"/>
    </xf>
    <xf numFmtId="166" fontId="20" fillId="0" borderId="0" xfId="0" applyNumberFormat="1" applyFont="1" applyAlignment="1">
      <alignment horizontal="center" vertical="center" wrapText="1"/>
    </xf>
    <xf numFmtId="164" fontId="19" fillId="0" borderId="0" xfId="0" applyNumberFormat="1" applyFont="1" applyAlignment="1">
      <alignment horizontal="center" vertical="center" wrapText="1"/>
    </xf>
    <xf numFmtId="49" fontId="20" fillId="0" borderId="0" xfId="0" applyNumberFormat="1" applyFont="1" applyAlignment="1">
      <alignment horizontal="center" vertical="center"/>
    </xf>
    <xf numFmtId="165" fontId="19" fillId="4" borderId="0" xfId="0" applyNumberFormat="1" applyFont="1" applyFill="1" applyAlignment="1">
      <alignment horizontal="center" vertical="center"/>
    </xf>
    <xf numFmtId="164" fontId="19" fillId="4" borderId="0" xfId="0" applyNumberFormat="1" applyFont="1" applyFill="1" applyAlignment="1">
      <alignment horizontal="center" vertical="center"/>
    </xf>
    <xf numFmtId="0" fontId="20" fillId="5" borderId="0" xfId="0" applyFont="1" applyFill="1"/>
    <xf numFmtId="0" fontId="19" fillId="5" borderId="0" xfId="0" applyFont="1" applyFill="1"/>
    <xf numFmtId="0" fontId="19" fillId="5" borderId="0" xfId="0" applyFont="1" applyFill="1" applyAlignment="1">
      <alignment horizontal="center"/>
    </xf>
    <xf numFmtId="0" fontId="18" fillId="2" borderId="6" xfId="0" applyFont="1" applyFill="1" applyBorder="1" applyAlignment="1">
      <alignment horizontal="center" vertical="center" wrapText="1"/>
    </xf>
    <xf numFmtId="0" fontId="18" fillId="2" borderId="8" xfId="0" applyFont="1" applyFill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/>
    </xf>
    <xf numFmtId="3" fontId="29" fillId="0" borderId="10" xfId="0" applyNumberFormat="1" applyFont="1" applyFill="1" applyBorder="1" applyAlignment="1">
      <alignment horizontal="center" vertical="center" wrapText="1"/>
    </xf>
    <xf numFmtId="0" fontId="18" fillId="0" borderId="11" xfId="0" applyFont="1" applyFill="1" applyBorder="1" applyAlignment="1">
      <alignment horizontal="center" vertical="center" wrapText="1"/>
    </xf>
    <xf numFmtId="0" fontId="29" fillId="0" borderId="1" xfId="3" applyFont="1" applyFill="1" applyBorder="1" applyAlignment="1">
      <alignment horizontal="center" vertical="center" wrapText="1"/>
    </xf>
    <xf numFmtId="49" fontId="29" fillId="0" borderId="1" xfId="0" applyNumberFormat="1" applyFont="1" applyBorder="1" applyAlignment="1">
      <alignment horizontal="center" vertical="center" wrapText="1"/>
    </xf>
    <xf numFmtId="164" fontId="29" fillId="0" borderId="1" xfId="0" applyNumberFormat="1" applyFont="1" applyBorder="1" applyAlignment="1">
      <alignment horizontal="center" vertical="center" wrapText="1"/>
    </xf>
    <xf numFmtId="3" fontId="29" fillId="0" borderId="1" xfId="3" applyNumberFormat="1" applyFont="1" applyFill="1" applyBorder="1" applyAlignment="1">
      <alignment horizontal="center" vertical="center"/>
    </xf>
    <xf numFmtId="0" fontId="18" fillId="0" borderId="1" xfId="0" applyFont="1" applyFill="1" applyBorder="1" applyAlignment="1">
      <alignment horizontal="center" vertical="center" wrapText="1"/>
    </xf>
    <xf numFmtId="0" fontId="29" fillId="0" borderId="1" xfId="0" applyFont="1" applyFill="1" applyBorder="1" applyAlignment="1">
      <alignment horizontal="center" vertical="center" wrapText="1"/>
    </xf>
    <xf numFmtId="0" fontId="61" fillId="0" borderId="1" xfId="0" applyFont="1" applyBorder="1" applyAlignment="1">
      <alignment horizontal="center" vertical="center" wrapText="1"/>
    </xf>
    <xf numFmtId="3" fontId="29" fillId="0" borderId="10" xfId="1" applyNumberFormat="1" applyFont="1" applyBorder="1" applyAlignment="1">
      <alignment horizontal="center" vertical="center" wrapText="1"/>
    </xf>
    <xf numFmtId="0" fontId="18" fillId="0" borderId="11" xfId="1" applyFont="1" applyBorder="1" applyAlignment="1">
      <alignment horizontal="center" vertical="center" wrapText="1"/>
    </xf>
    <xf numFmtId="0" fontId="29" fillId="0" borderId="1" xfId="3" applyFont="1" applyBorder="1" applyAlignment="1">
      <alignment horizontal="center" vertical="center" wrapText="1"/>
    </xf>
    <xf numFmtId="3" fontId="29" fillId="0" borderId="11" xfId="3" applyNumberFormat="1" applyFont="1" applyBorder="1" applyAlignment="1">
      <alignment horizontal="center" vertical="center"/>
    </xf>
    <xf numFmtId="0" fontId="29" fillId="0" borderId="0" xfId="0" applyFont="1" applyBorder="1" applyAlignment="1">
      <alignment horizontal="center" vertical="center"/>
    </xf>
    <xf numFmtId="3" fontId="29" fillId="0" borderId="0" xfId="3" applyNumberFormat="1" applyFont="1" applyBorder="1" applyAlignment="1">
      <alignment horizontal="center" vertical="center"/>
    </xf>
    <xf numFmtId="0" fontId="18" fillId="0" borderId="0" xfId="0" applyFont="1" applyBorder="1" applyAlignment="1">
      <alignment horizontal="center" vertical="center" wrapText="1"/>
    </xf>
    <xf numFmtId="0" fontId="29" fillId="0" borderId="0" xfId="0" applyFont="1" applyBorder="1" applyAlignment="1">
      <alignment horizontal="center" vertical="center" wrapText="1"/>
    </xf>
    <xf numFmtId="49" fontId="29" fillId="0" borderId="0" xfId="0" applyNumberFormat="1" applyFont="1" applyBorder="1" applyAlignment="1">
      <alignment horizontal="center" vertical="center" wrapText="1"/>
    </xf>
    <xf numFmtId="164" fontId="29" fillId="0" borderId="0" xfId="0" applyNumberFormat="1" applyFont="1" applyBorder="1" applyAlignment="1">
      <alignment horizontal="center" vertical="center" wrapText="1"/>
    </xf>
    <xf numFmtId="0" fontId="61" fillId="0" borderId="0" xfId="0" applyFont="1" applyBorder="1" applyAlignment="1">
      <alignment horizontal="center" vertical="center" wrapText="1"/>
    </xf>
    <xf numFmtId="0" fontId="19" fillId="0" borderId="0" xfId="0" applyFont="1" applyAlignment="1">
      <alignment horizontal="center"/>
    </xf>
  </cellXfs>
  <cellStyles count="43">
    <cellStyle name="Hipervínculo" xfId="36" builtinId="8"/>
    <cellStyle name="Normal" xfId="0" builtinId="0"/>
    <cellStyle name="Normal 10" xfId="18" xr:uid="{EB2927AC-3EFD-4A9D-AA16-C5860BBFC07A}"/>
    <cellStyle name="Normal 10 2" xfId="7" xr:uid="{6F6D9475-DB34-4825-832B-EC8B27A6901E}"/>
    <cellStyle name="Normal 11" xfId="19" xr:uid="{70529AAA-DA9F-4049-9687-8C8E6699FA59}"/>
    <cellStyle name="Normal 11 2" xfId="26" xr:uid="{0D01B5D9-4715-40EA-8670-30DC7FB57288}"/>
    <cellStyle name="Normal 12" xfId="20" xr:uid="{9C7C6E2A-8F28-4FBD-A993-61175C8D0B2D}"/>
    <cellStyle name="Normal 12 2" xfId="27" xr:uid="{05586120-EAFF-4811-A261-C699AB8D9BCE}"/>
    <cellStyle name="Normal 13" xfId="8" xr:uid="{84C3876F-C46F-4201-8212-244873C0BD59}"/>
    <cellStyle name="Normal 13 2" xfId="31" xr:uid="{CD2C8B10-5607-421E-92EA-C891A1D7D85D}"/>
    <cellStyle name="Normal 14" xfId="28" xr:uid="{8B2E0452-4736-458C-B767-3898A7EC1BA7}"/>
    <cellStyle name="Normal 15" xfId="29" xr:uid="{63FCA2B4-EECE-4ACF-A748-535F92A7ABEC}"/>
    <cellStyle name="Normal 16" xfId="32" xr:uid="{E1E96C49-A2D0-4C40-A092-D4812D6E9576}"/>
    <cellStyle name="Normal 17" xfId="33" xr:uid="{5DF0D780-45DD-48CE-83BB-6629946A6815}"/>
    <cellStyle name="Normal 18" xfId="34" xr:uid="{615C61EB-5A15-4EF5-AA70-00C023627332}"/>
    <cellStyle name="Normal 19" xfId="35" xr:uid="{5D14D9C1-FAEA-4473-835D-A2331D4DE6C8}"/>
    <cellStyle name="Normal 19 2" xfId="38" xr:uid="{522F3930-76E0-4692-9296-8F32CBACBE53}"/>
    <cellStyle name="Normal 2" xfId="1" xr:uid="{00000000-0005-0000-0000-000002000000}"/>
    <cellStyle name="Normal 2 2" xfId="30" xr:uid="{DE9869CB-97D1-48DB-BB9B-A79D2CD59D44}"/>
    <cellStyle name="Normal 2 2 2" xfId="41" xr:uid="{27438312-9943-4F58-8F56-9A18132FAF88}"/>
    <cellStyle name="Normal 2 3" xfId="14" xr:uid="{2A33B45C-2953-4680-BA59-9A106B62871C}"/>
    <cellStyle name="Normal 2 4" xfId="40" xr:uid="{AB83CF8B-1A69-410A-9F2C-A93298AE03A2}"/>
    <cellStyle name="Normal 20" xfId="39" xr:uid="{641134EF-4C80-4ABD-A6C3-D4C33E3A5F3B}"/>
    <cellStyle name="Normal 3" xfId="3" xr:uid="{2E620CFE-BB2C-4A35-9662-D66829C5FBC9}"/>
    <cellStyle name="Normal 3 2" xfId="5" xr:uid="{32FE86D6-BC2A-4F82-9785-ADF636037268}"/>
    <cellStyle name="Normal 3 2 2" xfId="11" xr:uid="{E26A05F4-7314-4B9D-93A2-B434B27F29C0}"/>
    <cellStyle name="Normal 3 3" xfId="4" xr:uid="{B524CB6A-FBA7-49D5-B4FB-9E3CE14B7095}"/>
    <cellStyle name="Normal 4" xfId="2" xr:uid="{235C9D73-6230-48DE-81DB-FF59C0882E1D}"/>
    <cellStyle name="Normal 4 2" xfId="21" xr:uid="{92AA2DED-3F80-4B0F-8099-EADCFBFA00A7}"/>
    <cellStyle name="Normal 4 3" xfId="42" xr:uid="{8FB85DC7-7BFA-4CF5-B47A-781FB8C8B891}"/>
    <cellStyle name="Normal 5" xfId="9" xr:uid="{D191A218-5A26-4282-B10E-0E269B920E7F}"/>
    <cellStyle name="Normal 5 2" xfId="10" xr:uid="{3AB825E3-117E-4743-A0A2-491E5E620C38}"/>
    <cellStyle name="Normal 5 3" xfId="13" xr:uid="{69CB4F01-9D65-4057-9845-B486AA8B98DF}"/>
    <cellStyle name="Normal 5 3 2" xfId="37" xr:uid="{BDA70EB2-45D0-44D0-AB0C-1D3A22055049}"/>
    <cellStyle name="Normal 6" xfId="12" xr:uid="{59C7A0C9-EC34-4A1D-AC4C-BA88EA5A5E4C}"/>
    <cellStyle name="Normal 6 2" xfId="22" xr:uid="{6CAAF6C8-4F3D-40EF-AFE9-7E210A2C96CB}"/>
    <cellStyle name="Normal 6 3" xfId="15" xr:uid="{0F77FBCB-CE18-44EE-91F8-84FE5CE43CE2}"/>
    <cellStyle name="Normal 7" xfId="16" xr:uid="{329ED271-7B14-469E-8F3A-D181249CD7C5}"/>
    <cellStyle name="Normal 7 2" xfId="23" xr:uid="{592303BB-3074-4399-8831-195DE61502E0}"/>
    <cellStyle name="Normal 8" xfId="6" xr:uid="{A8A7E1B6-23F0-42C5-869E-593362F51E28}"/>
    <cellStyle name="Normal 8 2" xfId="24" xr:uid="{48C07807-F4E9-42B6-A41B-3336C06EFBB4}"/>
    <cellStyle name="Normal 9" xfId="17" xr:uid="{DDB0DCA0-2966-40FC-934D-4BBE166048ED}"/>
    <cellStyle name="Normal 9 2" xfId="25" xr:uid="{D6CC75C6-FD3E-4E25-BD78-C9BCF757B709}"/>
  </cellStyles>
  <dxfs count="10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numFmt numFmtId="164" formatCode="0.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numFmt numFmtId="164" formatCode="0.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/>
        <bottom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2060"/>
        <name val="Arial Narrow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/>
        <bottom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2060"/>
        <name val="Arial Narrow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/>
        <bottom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2060"/>
        <name val="Arial Narrow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/>
        <bottom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2060"/>
        <name val="Arial Narrow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/>
        <bottom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/>
        <bottom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numFmt numFmtId="0" formatCode="General"/>
      <alignment horizont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"/>
        <name val="Arial Narrow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 Narrow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numFmt numFmtId="165" formatCode="#,##0.0"/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"/>
        <name val="Arial Narrow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 Narrow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 Narrow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 Narrow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 Narrow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 Narrow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 Narrow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numFmt numFmtId="164" formatCode="0.0"/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2060"/>
        <name val="Arial Narrow"/>
        <family val="2"/>
        <scheme val="none"/>
      </font>
      <numFmt numFmtId="164" formatCode="0.0"/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2060"/>
        <name val="Arial Narrow"/>
        <family val="2"/>
        <scheme val="none"/>
      </font>
      <numFmt numFmtId="164" formatCode="0.0"/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2060"/>
        <name val="Arial Narrow"/>
        <family val="2"/>
        <scheme val="none"/>
      </font>
      <numFmt numFmtId="164" formatCode="0.0"/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2060"/>
        <name val="Arial Narrow"/>
        <family val="2"/>
        <scheme val="none"/>
      </font>
      <numFmt numFmtId="164" formatCode="0.0"/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numFmt numFmtId="164" formatCode="0.0"/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numFmt numFmtId="164" formatCode="0.0"/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numFmt numFmtId="164" formatCode="0.0"/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numFmt numFmtId="164" formatCode="0.0"/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numFmt numFmtId="164" formatCode="0.0"/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numFmt numFmtId="164" formatCode="0.0"/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numFmt numFmtId="164" formatCode="0.0"/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numFmt numFmtId="164" formatCode="0.0"/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numFmt numFmtId="164" formatCode="0.0"/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numFmt numFmtId="164" formatCode="0.0"/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numFmt numFmtId="164" formatCode="0.0"/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numFmt numFmtId="164" formatCode="0.0"/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numFmt numFmtId="164" formatCode="0.0"/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numFmt numFmtId="166" formatCode="d/m/yyyy"/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"/>
        <name val="Arial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"/>
        <name val="Arial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 Narrow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 Narrow"/>
        <family val="2"/>
        <scheme val="none"/>
      </font>
    </dxf>
  </dxfs>
  <tableStyles count="0" defaultTableStyle="TableStyleMedium9" defaultPivotStyle="PivotStyleLight16"/>
  <colors>
    <mruColors>
      <color rgb="FF006600"/>
      <color rgb="FF008000"/>
      <color rgb="FF009900"/>
      <color rgb="FFFFFF99"/>
      <color rgb="FF4B5238"/>
      <color rgb="FFCCFF66"/>
      <color rgb="FF66FFFF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png"/><Relationship Id="rId3" Type="http://schemas.openxmlformats.org/officeDocument/2006/relationships/image" Target="../media/image3.pn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png"/><Relationship Id="rId13" Type="http://schemas.openxmlformats.org/officeDocument/2006/relationships/image" Target="../media/image10.png"/><Relationship Id="rId3" Type="http://schemas.openxmlformats.org/officeDocument/2006/relationships/image" Target="../media/image12.png"/><Relationship Id="rId7" Type="http://schemas.openxmlformats.org/officeDocument/2006/relationships/image" Target="../media/image16.png"/><Relationship Id="rId12" Type="http://schemas.openxmlformats.org/officeDocument/2006/relationships/image" Target="../media/image21.png"/><Relationship Id="rId2" Type="http://schemas.openxmlformats.org/officeDocument/2006/relationships/image" Target="../media/image11.png"/><Relationship Id="rId1" Type="http://schemas.openxmlformats.org/officeDocument/2006/relationships/image" Target="../media/image1.png"/><Relationship Id="rId6" Type="http://schemas.openxmlformats.org/officeDocument/2006/relationships/image" Target="../media/image15.png"/><Relationship Id="rId11" Type="http://schemas.openxmlformats.org/officeDocument/2006/relationships/image" Target="../media/image20.png"/><Relationship Id="rId5" Type="http://schemas.openxmlformats.org/officeDocument/2006/relationships/image" Target="../media/image14.png"/><Relationship Id="rId10" Type="http://schemas.openxmlformats.org/officeDocument/2006/relationships/image" Target="../media/image19.png"/><Relationship Id="rId4" Type="http://schemas.openxmlformats.org/officeDocument/2006/relationships/image" Target="../media/image13.png"/><Relationship Id="rId9" Type="http://schemas.openxmlformats.org/officeDocument/2006/relationships/image" Target="../media/image18.pn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22.png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3" Type="http://schemas.openxmlformats.org/officeDocument/2006/relationships/image" Target="../media/image3.pn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16</xdr:col>
      <xdr:colOff>990600</xdr:colOff>
      <xdr:row>0</xdr:row>
      <xdr:rowOff>896416</xdr:rowOff>
    </xdr:to>
    <xdr:grpSp>
      <xdr:nvGrpSpPr>
        <xdr:cNvPr id="2" name="1 Grupo">
          <a:extLst>
            <a:ext uri="{FF2B5EF4-FFF2-40B4-BE49-F238E27FC236}">
              <a16:creationId xmlns:a16="http://schemas.microsoft.com/office/drawing/2014/main" id="{DDB2AF5E-B42B-4BA3-A8F8-2CF8E893061C}"/>
            </a:ext>
          </a:extLst>
        </xdr:cNvPr>
        <xdr:cNvGrpSpPr/>
      </xdr:nvGrpSpPr>
      <xdr:grpSpPr>
        <a:xfrm>
          <a:off x="0" y="0"/>
          <a:ext cx="13049250" cy="896416"/>
          <a:chOff x="2758685" y="9976497"/>
          <a:chExt cx="9310047" cy="740319"/>
        </a:xfrm>
      </xdr:grpSpPr>
      <xdr:pic>
        <xdr:nvPicPr>
          <xdr:cNvPr id="3" name="3 Imagen">
            <a:extLst>
              <a:ext uri="{FF2B5EF4-FFF2-40B4-BE49-F238E27FC236}">
                <a16:creationId xmlns:a16="http://schemas.microsoft.com/office/drawing/2014/main" id="{9AB3F891-7522-483C-8639-A0EE0369A634}"/>
              </a:ext>
            </a:extLst>
          </xdr:cNvPr>
          <xdr:cNvPicPr preferRelativeResize="0"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4940" t="25337" r="15240" b="14766"/>
          <a:stretch>
            <a:fillRect/>
          </a:stretch>
        </xdr:blipFill>
        <xdr:spPr bwMode="auto">
          <a:xfrm>
            <a:off x="2758685" y="9998515"/>
            <a:ext cx="9310047" cy="71830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4" name="3 CuadroTexto">
            <a:extLst>
              <a:ext uri="{FF2B5EF4-FFF2-40B4-BE49-F238E27FC236}">
                <a16:creationId xmlns:a16="http://schemas.microsoft.com/office/drawing/2014/main" id="{AEA3FF1F-AB8F-43EB-93D9-77351830989A}"/>
              </a:ext>
            </a:extLst>
          </xdr:cNvPr>
          <xdr:cNvSpPr txBox="1"/>
        </xdr:nvSpPr>
        <xdr:spPr bwMode="auto">
          <a:xfrm>
            <a:off x="9340499" y="9976497"/>
            <a:ext cx="2588975" cy="695399"/>
          </a:xfrm>
          <a:prstGeom prst="rect">
            <a:avLst/>
          </a:prstGeom>
          <a:noFill/>
          <a:ln w="9525" cmpd="sng">
            <a:noFill/>
          </a:ln>
          <a:effectLst/>
        </xdr:spPr>
        <xdr:txBody>
          <a:bodyPr vertOverflow="clip" horzOverflow="clip" wrap="squar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CO" sz="1600" b="1" i="0" u="none" strike="noStrike" kern="0" cap="none" spc="0" normalizeH="0" baseline="0" noProof="0">
                <a:ln>
                  <a:noFill/>
                </a:ln>
                <a:solidFill>
                  <a:srgbClr val="006600"/>
                </a:solidFill>
                <a:effectLst/>
                <a:uLnTx/>
                <a:uFillTx/>
                <a:latin typeface="Calibri"/>
                <a:ea typeface="+mn-ea"/>
                <a:cs typeface="+mn-cs"/>
              </a:rPr>
              <a:t>UNIVERSIDAD DEL QUINDIO</a:t>
            </a:r>
          </a:p>
          <a:p>
            <a:pPr algn="ctr" eaLnBrk="1" fontAlgn="auto" latinLnBrk="0" hangingPunct="1"/>
            <a:r>
              <a:rPr lang="es-CO" sz="1100" b="0" i="0" baseline="0">
                <a:solidFill>
                  <a:srgbClr val="006600"/>
                </a:solidFill>
                <a:effectLst/>
                <a:latin typeface="+mn-lt"/>
                <a:ea typeface="+mn-ea"/>
                <a:cs typeface="+mn-cs"/>
              </a:rPr>
              <a:t>Oficina de Asuntos Profesorales</a:t>
            </a:r>
            <a:endParaRPr lang="es-CO">
              <a:solidFill>
                <a:srgbClr val="006600"/>
              </a:solidFill>
              <a:effectLst/>
            </a:endParaRPr>
          </a:p>
        </xdr:txBody>
      </xdr:sp>
      <xdr:pic>
        <xdr:nvPicPr>
          <xdr:cNvPr id="5" name="Picture 1" descr="logo de la universidad del quindio">
            <a:extLst>
              <a:ext uri="{FF2B5EF4-FFF2-40B4-BE49-F238E27FC236}">
                <a16:creationId xmlns:a16="http://schemas.microsoft.com/office/drawing/2014/main" id="{AB5CF77D-2875-4533-828D-D7EBD20529B2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lum bright="-30000"/>
          </a:blip>
          <a:srcRect/>
          <a:stretch>
            <a:fillRect/>
          </a:stretch>
        </xdr:blipFill>
        <xdr:spPr bwMode="auto">
          <a:xfrm>
            <a:off x="2907038" y="10105151"/>
            <a:ext cx="464446" cy="537663"/>
          </a:xfrm>
          <a:prstGeom prst="rect">
            <a:avLst/>
          </a:prstGeom>
          <a:ln>
            <a:noFill/>
          </a:ln>
          <a:effectLst>
            <a:outerShdw blurRad="292100" dist="50800" dir="2700000" sx="97000" sy="97000" algn="tl" rotWithShape="0">
              <a:srgbClr val="333333">
                <a:alpha val="50000"/>
              </a:srgbClr>
            </a:outerShdw>
          </a:effectLst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6" name="5 CuadroTexto">
            <a:extLst>
              <a:ext uri="{FF2B5EF4-FFF2-40B4-BE49-F238E27FC236}">
                <a16:creationId xmlns:a16="http://schemas.microsoft.com/office/drawing/2014/main" id="{7EA0246C-4111-4BB1-8976-7CEA3C0366DF}"/>
              </a:ext>
            </a:extLst>
          </xdr:cNvPr>
          <xdr:cNvSpPr txBox="1"/>
        </xdr:nvSpPr>
        <xdr:spPr bwMode="auto">
          <a:xfrm>
            <a:off x="5522306" y="10141687"/>
            <a:ext cx="3390929" cy="466426"/>
          </a:xfrm>
          <a:prstGeom prst="rect">
            <a:avLst/>
          </a:prstGeom>
          <a:solidFill>
            <a:sysClr val="window" lastClr="FFFFFF">
              <a:alpha val="80000"/>
            </a:sysClr>
          </a:solidFill>
          <a:ln w="9525" cmpd="sng">
            <a:noFill/>
          </a:ln>
          <a:effectLst/>
        </xdr:spPr>
        <xdr:txBody>
          <a:bodyPr vertOverflow="clip" horzOverflow="clip" wrap="squar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CO" sz="1200" b="1" i="0" u="none" strike="noStrike" kern="0" cap="none" spc="0" normalizeH="0" baseline="0" noProof="0">
                <a:ln>
                  <a:noFill/>
                </a:ln>
                <a:solidFill>
                  <a:srgbClr val="006600"/>
                </a:solidFill>
                <a:effectLst/>
                <a:uLnTx/>
                <a:uFillTx/>
                <a:latin typeface="Calibri"/>
                <a:ea typeface="+mn-ea"/>
                <a:cs typeface="+mn-cs"/>
              </a:rPr>
              <a:t>Base de Datos Cod: DOC_02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CO" sz="1200" b="1" i="0" u="none" strike="noStrike" kern="0" cap="none" spc="0" normalizeH="0" baseline="0" noProof="0">
                <a:ln>
                  <a:noFill/>
                </a:ln>
                <a:solidFill>
                  <a:srgbClr val="006600"/>
                </a:solidFill>
                <a:effectLst/>
                <a:uLnTx/>
                <a:uFillTx/>
                <a:latin typeface="Calibri"/>
                <a:ea typeface="+mn-ea"/>
                <a:cs typeface="+mn-cs"/>
              </a:rPr>
              <a:t>(PRODUCTIVIDAD POR TÍTULOS ACADÉMICOS)</a:t>
            </a:r>
            <a:endParaRPr kumimoji="0" lang="es-CO" sz="1200" b="1" i="0" u="none" strike="noStrike" kern="0" cap="none" spc="0" normalizeH="0" baseline="0">
              <a:ln>
                <a:noFill/>
              </a:ln>
              <a:solidFill>
                <a:srgbClr val="006600"/>
              </a:solidFill>
              <a:effectLst/>
              <a:uLnTx/>
              <a:uFillTx/>
              <a:latin typeface="Calibri"/>
              <a:ea typeface="+mn-ea"/>
              <a:cs typeface="+mn-cs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CO" sz="1200" b="1" i="0" u="none" strike="noStrike" kern="0" cap="none" spc="0" normalizeH="0" baseline="0" noProof="0">
              <a:ln>
                <a:noFill/>
              </a:ln>
              <a:solidFill>
                <a:srgbClr val="006600"/>
              </a:solidFill>
              <a:effectLst/>
              <a:uLnTx/>
              <a:uFillTx/>
              <a:latin typeface="Calibri"/>
              <a:ea typeface="+mn-ea"/>
              <a:cs typeface="+mn-cs"/>
            </a:endParaRPr>
          </a:p>
        </xdr:txBody>
      </xdr:sp>
      <xdr:grpSp>
        <xdr:nvGrpSpPr>
          <xdr:cNvPr id="7" name="27 Grupo">
            <a:extLst>
              <a:ext uri="{FF2B5EF4-FFF2-40B4-BE49-F238E27FC236}">
                <a16:creationId xmlns:a16="http://schemas.microsoft.com/office/drawing/2014/main" id="{2ABD4DE9-2239-4A62-BC5E-6E2F19683603}"/>
              </a:ext>
            </a:extLst>
          </xdr:cNvPr>
          <xdr:cNvGrpSpPr>
            <a:grpSpLocks/>
          </xdr:cNvGrpSpPr>
        </xdr:nvGrpSpPr>
        <xdr:grpSpPr bwMode="auto">
          <a:xfrm>
            <a:off x="3826429" y="10168217"/>
            <a:ext cx="962406" cy="496979"/>
            <a:chOff x="1991021" y="2705056"/>
            <a:chExt cx="1500859" cy="818758"/>
          </a:xfrm>
        </xdr:grpSpPr>
        <xdr:pic>
          <xdr:nvPicPr>
            <xdr:cNvPr id="8" name="Picture 1" descr="logo de la universidad del quindio">
              <a:extLst>
                <a:ext uri="{FF2B5EF4-FFF2-40B4-BE49-F238E27FC236}">
                  <a16:creationId xmlns:a16="http://schemas.microsoft.com/office/drawing/2014/main" id="{297E9311-3930-474B-AE47-88354C80C549}"/>
                </a:ext>
              </a:extLst>
            </xdr:cNvPr>
            <xdr:cNvPicPr>
              <a:picLocks noChangeAspect="1" noChangeArrowheads="1"/>
            </xdr:cNvPicPr>
          </xdr:nvPicPr>
          <xdr:blipFill rotWithShape="1">
            <a:blip xmlns:r="http://schemas.openxmlformats.org/officeDocument/2006/relationships" r:embed="rId3" cstate="print">
              <a:duotone>
                <a:srgbClr val="9BBB59">
                  <a:shade val="45000"/>
                  <a:satMod val="135000"/>
                </a:srgbClr>
                <a:prstClr val="white"/>
              </a:duotone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b="22568"/>
            <a:stretch/>
          </xdr:blipFill>
          <xdr:spPr bwMode="auto">
            <a:xfrm>
              <a:off x="1991021" y="2705056"/>
              <a:ext cx="407588" cy="352423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9" name="Picture 1" descr="logo de la universidad del quindio">
              <a:extLst>
                <a:ext uri="{FF2B5EF4-FFF2-40B4-BE49-F238E27FC236}">
                  <a16:creationId xmlns:a16="http://schemas.microsoft.com/office/drawing/2014/main" id="{1CBF3D0C-FE89-41FE-BDA2-CB6BA1F63071}"/>
                </a:ext>
              </a:extLst>
            </xdr:cNvPr>
            <xdr:cNvPicPr>
              <a:picLocks noChangeAspect="1" noChangeArrowheads="1"/>
            </xdr:cNvPicPr>
          </xdr:nvPicPr>
          <xdr:blipFill rotWithShape="1">
            <a:blip xmlns:r="http://schemas.openxmlformats.org/officeDocument/2006/relationships" r:embed="rId4" cstate="print">
              <a:duotone>
                <a:srgbClr val="EEECE1">
                  <a:shade val="45000"/>
                  <a:satMod val="135000"/>
                </a:srgbClr>
                <a:prstClr val="white"/>
              </a:duotone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b="22568"/>
            <a:stretch/>
          </xdr:blipFill>
          <xdr:spPr bwMode="auto">
            <a:xfrm>
              <a:off x="2484039" y="2899048"/>
              <a:ext cx="275320" cy="238056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0" name="Picture 1" descr="logo de la universidad del quindio">
              <a:extLst>
                <a:ext uri="{FF2B5EF4-FFF2-40B4-BE49-F238E27FC236}">
                  <a16:creationId xmlns:a16="http://schemas.microsoft.com/office/drawing/2014/main" id="{95BE5A48-D2F5-43DE-8852-C7766FCC4634}"/>
                </a:ext>
              </a:extLst>
            </xdr:cNvPr>
            <xdr:cNvPicPr>
              <a:picLocks noChangeAspect="1" noChangeArrowheads="1"/>
            </xdr:cNvPicPr>
          </xdr:nvPicPr>
          <xdr:blipFill rotWithShape="1">
            <a:blip xmlns:r="http://schemas.openxmlformats.org/officeDocument/2006/relationships" r:embed="rId5" cstate="print">
              <a:duotone>
                <a:srgbClr val="4F81BD">
                  <a:shade val="45000"/>
                  <a:satMod val="135000"/>
                </a:srgbClr>
                <a:prstClr val="white"/>
              </a:duotone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b="22568"/>
            <a:stretch/>
          </xdr:blipFill>
          <xdr:spPr bwMode="auto">
            <a:xfrm>
              <a:off x="2817554" y="3252903"/>
              <a:ext cx="192936" cy="166823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1" name="Picture 1" descr="logo de la universidad del quindio">
              <a:extLst>
                <a:ext uri="{FF2B5EF4-FFF2-40B4-BE49-F238E27FC236}">
                  <a16:creationId xmlns:a16="http://schemas.microsoft.com/office/drawing/2014/main" id="{933C4561-100A-4AA5-96B5-CEE2F2B0FE36}"/>
                </a:ext>
              </a:extLst>
            </xdr:cNvPr>
            <xdr:cNvPicPr>
              <a:picLocks noChangeAspect="1" noChangeArrowheads="1"/>
            </xdr:cNvPicPr>
          </xdr:nvPicPr>
          <xdr:blipFill rotWithShape="1">
            <a:blip xmlns:r="http://schemas.openxmlformats.org/officeDocument/2006/relationships" r:embed="rId6" cstate="print">
              <a:duotone>
                <a:srgbClr val="8064A2">
                  <a:shade val="45000"/>
                  <a:satMod val="135000"/>
                </a:srgbClr>
                <a:prstClr val="white"/>
              </a:duotone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b="22568"/>
            <a:stretch/>
          </xdr:blipFill>
          <xdr:spPr bwMode="auto">
            <a:xfrm>
              <a:off x="2627784" y="3175177"/>
              <a:ext cx="153371" cy="132613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2" name="Picture 1" descr="logo de la universidad del quindio">
              <a:extLst>
                <a:ext uri="{FF2B5EF4-FFF2-40B4-BE49-F238E27FC236}">
                  <a16:creationId xmlns:a16="http://schemas.microsoft.com/office/drawing/2014/main" id="{6FE9290C-B11B-4AEE-B9E0-2D6BCAE3B9A6}"/>
                </a:ext>
              </a:extLst>
            </xdr:cNvPr>
            <xdr:cNvPicPr>
              <a:picLocks noChangeAspect="1" noChangeArrowheads="1"/>
            </xdr:cNvPicPr>
          </xdr:nvPicPr>
          <xdr:blipFill rotWithShape="1">
            <a:blip xmlns:r="http://schemas.openxmlformats.org/officeDocument/2006/relationships" r:embed="rId7" cstate="print">
              <a:duotone>
                <a:srgbClr val="F79646">
                  <a:shade val="45000"/>
                  <a:satMod val="135000"/>
                </a:srgbClr>
                <a:prstClr val="white"/>
              </a:duotone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b="22568"/>
            <a:stretch/>
          </xdr:blipFill>
          <xdr:spPr bwMode="auto">
            <a:xfrm>
              <a:off x="2195737" y="3141742"/>
              <a:ext cx="275319" cy="238056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3" name="Picture 1" descr="logo de la universidad del quindio">
              <a:extLst>
                <a:ext uri="{FF2B5EF4-FFF2-40B4-BE49-F238E27FC236}">
                  <a16:creationId xmlns:a16="http://schemas.microsoft.com/office/drawing/2014/main" id="{0A7C3A4D-9066-4E59-8893-74EDB9C99096}"/>
                </a:ext>
              </a:extLst>
            </xdr:cNvPr>
            <xdr:cNvPicPr>
              <a:picLocks noChangeAspect="1" noChangeArrowheads="1"/>
            </xdr:cNvPicPr>
          </xdr:nvPicPr>
          <xdr:blipFill rotWithShape="1">
            <a:blip xmlns:r="http://schemas.openxmlformats.org/officeDocument/2006/relationships" r:embed="rId8" cstate="print">
              <a:duotone>
                <a:srgbClr val="4F81BD">
                  <a:shade val="45000"/>
                  <a:satMod val="135000"/>
                </a:srgbClr>
                <a:prstClr val="white"/>
              </a:duotone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b="22568"/>
            <a:stretch/>
          </xdr:blipFill>
          <xdr:spPr bwMode="auto">
            <a:xfrm>
              <a:off x="2988957" y="2722391"/>
              <a:ext cx="140183" cy="121211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4" name="Picture 1" descr="logo de la universidad del quindio">
              <a:extLst>
                <a:ext uri="{FF2B5EF4-FFF2-40B4-BE49-F238E27FC236}">
                  <a16:creationId xmlns:a16="http://schemas.microsoft.com/office/drawing/2014/main" id="{3627E71F-39E2-45C7-9008-FAC72E78C891}"/>
                </a:ext>
              </a:extLst>
            </xdr:cNvPr>
            <xdr:cNvPicPr>
              <a:picLocks noChangeAspect="1" noChangeArrowheads="1"/>
            </xdr:cNvPicPr>
          </xdr:nvPicPr>
          <xdr:blipFill rotWithShape="1">
            <a:blip xmlns:r="http://schemas.openxmlformats.org/officeDocument/2006/relationships" r:embed="rId9" cstate="print">
              <a:duotone>
                <a:srgbClr val="EEECE1">
                  <a:shade val="45000"/>
                  <a:satMod val="135000"/>
                </a:srgbClr>
                <a:prstClr val="white"/>
              </a:duotone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b="22568"/>
            <a:stretch/>
          </xdr:blipFill>
          <xdr:spPr bwMode="auto">
            <a:xfrm>
              <a:off x="2483768" y="3368159"/>
              <a:ext cx="180020" cy="155655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5" name="Picture 1" descr="logo de la universidad del quindio">
              <a:extLst>
                <a:ext uri="{FF2B5EF4-FFF2-40B4-BE49-F238E27FC236}">
                  <a16:creationId xmlns:a16="http://schemas.microsoft.com/office/drawing/2014/main" id="{9B87BCE1-1465-41AC-A314-789546FED30D}"/>
                </a:ext>
              </a:extLst>
            </xdr:cNvPr>
            <xdr:cNvPicPr>
              <a:picLocks noChangeAspect="1" noChangeArrowheads="1"/>
            </xdr:cNvPicPr>
          </xdr:nvPicPr>
          <xdr:blipFill rotWithShape="1">
            <a:blip xmlns:r="http://schemas.openxmlformats.org/officeDocument/2006/relationships" r:embed="rId8" cstate="print">
              <a:duotone>
                <a:srgbClr val="9BBB59">
                  <a:shade val="45000"/>
                  <a:satMod val="135000"/>
                </a:srgbClr>
                <a:prstClr val="white"/>
              </a:duotone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b="22568"/>
            <a:stretch/>
          </xdr:blipFill>
          <xdr:spPr bwMode="auto">
            <a:xfrm>
              <a:off x="2915815" y="2998422"/>
              <a:ext cx="140183" cy="121211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6" name="Picture 1" descr="logo de la universidad del quindio">
              <a:extLst>
                <a:ext uri="{FF2B5EF4-FFF2-40B4-BE49-F238E27FC236}">
                  <a16:creationId xmlns:a16="http://schemas.microsoft.com/office/drawing/2014/main" id="{245983F7-80D3-41C9-BA95-1639C77D5D6F}"/>
                </a:ext>
              </a:extLst>
            </xdr:cNvPr>
            <xdr:cNvPicPr>
              <a:picLocks noChangeAspect="1" noChangeArrowheads="1"/>
            </xdr:cNvPicPr>
          </xdr:nvPicPr>
          <xdr:blipFill rotWithShape="1">
            <a:blip xmlns:r="http://schemas.openxmlformats.org/officeDocument/2006/relationships" r:embed="rId10" cstate="print">
              <a:duotone>
                <a:srgbClr val="8064A2">
                  <a:shade val="45000"/>
                  <a:satMod val="135000"/>
                </a:srgbClr>
                <a:prstClr val="white"/>
              </a:duotone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b="22568"/>
            <a:stretch/>
          </xdr:blipFill>
          <xdr:spPr bwMode="auto">
            <a:xfrm>
              <a:off x="2544505" y="2731726"/>
              <a:ext cx="83279" cy="72008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7" name="Picture 1" descr="logo de la universidad del quindio">
              <a:extLst>
                <a:ext uri="{FF2B5EF4-FFF2-40B4-BE49-F238E27FC236}">
                  <a16:creationId xmlns:a16="http://schemas.microsoft.com/office/drawing/2014/main" id="{58DD6478-2007-4E03-992D-C86727415DE6}"/>
                </a:ext>
              </a:extLst>
            </xdr:cNvPr>
            <xdr:cNvPicPr>
              <a:picLocks noChangeAspect="1" noChangeArrowheads="1"/>
            </xdr:cNvPicPr>
          </xdr:nvPicPr>
          <xdr:blipFill rotWithShape="1">
            <a:blip xmlns:r="http://schemas.openxmlformats.org/officeDocument/2006/relationships" r:embed="rId8" cstate="print">
              <a:duotone>
                <a:srgbClr val="F79646">
                  <a:shade val="45000"/>
                  <a:satMod val="135000"/>
                </a:srgbClr>
                <a:prstClr val="white"/>
              </a:duotone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b="22568"/>
            <a:stretch/>
          </xdr:blipFill>
          <xdr:spPr bwMode="auto">
            <a:xfrm>
              <a:off x="2771800" y="2783681"/>
              <a:ext cx="140183" cy="12121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8" name="Picture 1" descr="logo de la universidad del quindio">
              <a:extLst>
                <a:ext uri="{FF2B5EF4-FFF2-40B4-BE49-F238E27FC236}">
                  <a16:creationId xmlns:a16="http://schemas.microsoft.com/office/drawing/2014/main" id="{24BF9691-9D5A-4275-94AA-4AAA9186C7AE}"/>
                </a:ext>
              </a:extLst>
            </xdr:cNvPr>
            <xdr:cNvPicPr>
              <a:picLocks noChangeAspect="1" noChangeArrowheads="1"/>
            </xdr:cNvPicPr>
          </xdr:nvPicPr>
          <xdr:blipFill rotWithShape="1">
            <a:blip xmlns:r="http://schemas.openxmlformats.org/officeDocument/2006/relationships" r:embed="rId10" cstate="print">
              <a:duotone>
                <a:srgbClr val="8064A2">
                  <a:shade val="45000"/>
                  <a:satMod val="135000"/>
                </a:srgbClr>
                <a:prstClr val="white"/>
              </a:duotone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b="22568"/>
            <a:stretch/>
          </xdr:blipFill>
          <xdr:spPr bwMode="auto">
            <a:xfrm>
              <a:off x="3132217" y="2892410"/>
              <a:ext cx="83279" cy="72008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9" name="Picture 1" descr="logo de la universidad del quindio">
              <a:extLst>
                <a:ext uri="{FF2B5EF4-FFF2-40B4-BE49-F238E27FC236}">
                  <a16:creationId xmlns:a16="http://schemas.microsoft.com/office/drawing/2014/main" id="{CE429F03-7297-4D47-8BA3-E97CC45C0AE9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0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b="22568"/>
            <a:stretch>
              <a:fillRect/>
            </a:stretch>
          </xdr:blipFill>
          <xdr:spPr bwMode="auto">
            <a:xfrm>
              <a:off x="3408601" y="2876939"/>
              <a:ext cx="83279" cy="72008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</xdr:grp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0</xdr:row>
      <xdr:rowOff>0</xdr:rowOff>
    </xdr:from>
    <xdr:to>
      <xdr:col>13</xdr:col>
      <xdr:colOff>1057274</xdr:colOff>
      <xdr:row>0</xdr:row>
      <xdr:rowOff>885825</xdr:rowOff>
    </xdr:to>
    <xdr:grpSp>
      <xdr:nvGrpSpPr>
        <xdr:cNvPr id="2" name="37 Grupo">
          <a:extLst>
            <a:ext uri="{FF2B5EF4-FFF2-40B4-BE49-F238E27FC236}">
              <a16:creationId xmlns:a16="http://schemas.microsoft.com/office/drawing/2014/main" id="{01E38EC3-EF1B-4786-BB4A-3A47E763E289}"/>
            </a:ext>
          </a:extLst>
        </xdr:cNvPr>
        <xdr:cNvGrpSpPr/>
      </xdr:nvGrpSpPr>
      <xdr:grpSpPr>
        <a:xfrm>
          <a:off x="9525" y="0"/>
          <a:ext cx="12801599" cy="885825"/>
          <a:chOff x="2554486" y="9966519"/>
          <a:chExt cx="9363422" cy="718301"/>
        </a:xfrm>
      </xdr:grpSpPr>
      <xdr:pic>
        <xdr:nvPicPr>
          <xdr:cNvPr id="3" name="3 Imagen">
            <a:extLst>
              <a:ext uri="{FF2B5EF4-FFF2-40B4-BE49-F238E27FC236}">
                <a16:creationId xmlns:a16="http://schemas.microsoft.com/office/drawing/2014/main" id="{45611CDF-15C9-4B66-A544-7E43BA87B44E}"/>
              </a:ext>
            </a:extLst>
          </xdr:cNvPr>
          <xdr:cNvPicPr preferRelativeResize="0"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4940" t="25337" r="15240" b="14766"/>
          <a:stretch>
            <a:fillRect/>
          </a:stretch>
        </xdr:blipFill>
        <xdr:spPr bwMode="auto">
          <a:xfrm>
            <a:off x="2554486" y="9966519"/>
            <a:ext cx="9363422" cy="71830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4" name="39 CuadroTexto">
            <a:extLst>
              <a:ext uri="{FF2B5EF4-FFF2-40B4-BE49-F238E27FC236}">
                <a16:creationId xmlns:a16="http://schemas.microsoft.com/office/drawing/2014/main" id="{F7EC7F8E-F43D-44FA-9FB3-4E2710F62379}"/>
              </a:ext>
            </a:extLst>
          </xdr:cNvPr>
          <xdr:cNvSpPr txBox="1"/>
        </xdr:nvSpPr>
        <xdr:spPr bwMode="auto">
          <a:xfrm>
            <a:off x="8969584" y="10060487"/>
            <a:ext cx="2679168" cy="536745"/>
          </a:xfrm>
          <a:prstGeom prst="rect">
            <a:avLst/>
          </a:prstGeom>
          <a:noFill/>
          <a:ln w="9525" cmpd="sng">
            <a:noFill/>
          </a:ln>
          <a:effectLst/>
        </xdr:spPr>
        <xdr:txBody>
          <a:bodyPr vertOverflow="clip" horzOverflow="clip" wrap="squar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CO" sz="1600" b="1" i="0" u="none" strike="noStrike" kern="0" cap="none" spc="0" normalizeH="0" baseline="0" noProof="0">
                <a:ln>
                  <a:noFill/>
                </a:ln>
                <a:solidFill>
                  <a:srgbClr val="006600"/>
                </a:solidFill>
                <a:effectLst/>
                <a:uLnTx/>
                <a:uFillTx/>
                <a:latin typeface="Calibri"/>
                <a:ea typeface="+mn-ea"/>
                <a:cs typeface="+mn-cs"/>
              </a:rPr>
              <a:t>UNIVERSIDAD DEL QUINDIO</a:t>
            </a:r>
          </a:p>
          <a:p>
            <a:pPr algn="ctr" eaLnBrk="1" fontAlgn="auto" latinLnBrk="0" hangingPunct="1"/>
            <a:r>
              <a:rPr lang="es-CO" sz="1100" b="0" i="0" baseline="0">
                <a:solidFill>
                  <a:srgbClr val="006600"/>
                </a:solidFill>
                <a:effectLst/>
                <a:latin typeface="+mn-lt"/>
                <a:ea typeface="+mn-ea"/>
                <a:cs typeface="+mn-cs"/>
              </a:rPr>
              <a:t>Oficina de Asuntos Profesorales</a:t>
            </a:r>
            <a:endParaRPr lang="es-CO">
              <a:solidFill>
                <a:srgbClr val="006600"/>
              </a:solidFill>
              <a:effectLst/>
            </a:endParaRPr>
          </a:p>
        </xdr:txBody>
      </xdr:sp>
      <xdr:pic>
        <xdr:nvPicPr>
          <xdr:cNvPr id="5" name="Picture 1" descr="logo de la universidad del quindio">
            <a:extLst>
              <a:ext uri="{FF2B5EF4-FFF2-40B4-BE49-F238E27FC236}">
                <a16:creationId xmlns:a16="http://schemas.microsoft.com/office/drawing/2014/main" id="{E16F9A91-A400-44B2-B974-F0B91FFFD724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lum bright="-30000"/>
          </a:blip>
          <a:srcRect/>
          <a:stretch>
            <a:fillRect/>
          </a:stretch>
        </xdr:blipFill>
        <xdr:spPr bwMode="auto">
          <a:xfrm>
            <a:off x="2827481" y="10079555"/>
            <a:ext cx="464446" cy="537663"/>
          </a:xfrm>
          <a:prstGeom prst="rect">
            <a:avLst/>
          </a:prstGeom>
          <a:ln>
            <a:noFill/>
          </a:ln>
          <a:effectLst>
            <a:outerShdw blurRad="292100" dist="50800" dir="2700000" sx="97000" sy="97000" algn="tl" rotWithShape="0">
              <a:srgbClr val="333333">
                <a:alpha val="50000"/>
              </a:srgbClr>
            </a:outerShdw>
          </a:effectLst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6" name="41 CuadroTexto">
            <a:extLst>
              <a:ext uri="{FF2B5EF4-FFF2-40B4-BE49-F238E27FC236}">
                <a16:creationId xmlns:a16="http://schemas.microsoft.com/office/drawing/2014/main" id="{F246292F-BF18-4BF5-A93A-AA61E236CAB1}"/>
              </a:ext>
            </a:extLst>
          </xdr:cNvPr>
          <xdr:cNvSpPr txBox="1"/>
        </xdr:nvSpPr>
        <xdr:spPr bwMode="auto">
          <a:xfrm>
            <a:off x="5267317" y="10050755"/>
            <a:ext cx="3390929" cy="506866"/>
          </a:xfrm>
          <a:prstGeom prst="rect">
            <a:avLst/>
          </a:prstGeom>
          <a:solidFill>
            <a:sysClr val="window" lastClr="FFFFFF">
              <a:alpha val="80000"/>
            </a:sysClr>
          </a:solidFill>
          <a:ln w="9525" cmpd="sng">
            <a:noFill/>
          </a:ln>
          <a:effectLst/>
        </xdr:spPr>
        <xdr:txBody>
          <a:bodyPr vertOverflow="clip" horzOverflow="clip" wrap="squar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CO" sz="1200" b="1" i="0" u="none" strike="noStrike" kern="0" cap="none" spc="0" normalizeH="0" baseline="0" noProof="0">
                <a:ln>
                  <a:noFill/>
                </a:ln>
                <a:solidFill>
                  <a:srgbClr val="006600"/>
                </a:solidFill>
                <a:effectLst/>
                <a:uLnTx/>
                <a:uFillTx/>
                <a:latin typeface="Calibri"/>
                <a:ea typeface="+mn-ea"/>
                <a:cs typeface="+mn-cs"/>
              </a:rPr>
              <a:t>Base de Datos Cod: DOC_01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CO" sz="1200" b="1" i="0" u="none" strike="noStrike" kern="0" cap="none" spc="0" normalizeH="0" baseline="0" noProof="0">
                <a:ln>
                  <a:noFill/>
                </a:ln>
                <a:solidFill>
                  <a:srgbClr val="006600"/>
                </a:solidFill>
                <a:effectLst/>
                <a:uLnTx/>
                <a:uFillTx/>
                <a:latin typeface="Calibri"/>
                <a:ea typeface="+mn-ea"/>
                <a:cs typeface="+mn-cs"/>
              </a:rPr>
              <a:t>(CAMBIO DE CATEGORÍA)</a:t>
            </a:r>
          </a:p>
        </xdr:txBody>
      </xdr:sp>
      <xdr:grpSp>
        <xdr:nvGrpSpPr>
          <xdr:cNvPr id="7" name="27 Grupo">
            <a:extLst>
              <a:ext uri="{FF2B5EF4-FFF2-40B4-BE49-F238E27FC236}">
                <a16:creationId xmlns:a16="http://schemas.microsoft.com/office/drawing/2014/main" id="{9305AEBF-876B-41E1-8A27-4A7E660F95FA}"/>
              </a:ext>
            </a:extLst>
          </xdr:cNvPr>
          <xdr:cNvGrpSpPr>
            <a:grpSpLocks/>
          </xdr:cNvGrpSpPr>
        </xdr:nvGrpSpPr>
        <xdr:grpSpPr bwMode="auto">
          <a:xfrm>
            <a:off x="3749287" y="10168217"/>
            <a:ext cx="1039549" cy="496979"/>
            <a:chOff x="1870718" y="2705056"/>
            <a:chExt cx="1621162" cy="818758"/>
          </a:xfrm>
        </xdr:grpSpPr>
        <xdr:pic>
          <xdr:nvPicPr>
            <xdr:cNvPr id="8" name="Picture 1" descr="logo de la universidad del quindio">
              <a:extLst>
                <a:ext uri="{FF2B5EF4-FFF2-40B4-BE49-F238E27FC236}">
                  <a16:creationId xmlns:a16="http://schemas.microsoft.com/office/drawing/2014/main" id="{12DCBD07-5088-4A80-80CB-111030174FCA}"/>
                </a:ext>
              </a:extLst>
            </xdr:cNvPr>
            <xdr:cNvPicPr>
              <a:picLocks noChangeAspect="1" noChangeArrowheads="1"/>
            </xdr:cNvPicPr>
          </xdr:nvPicPr>
          <xdr:blipFill rotWithShape="1">
            <a:blip xmlns:r="http://schemas.openxmlformats.org/officeDocument/2006/relationships" r:embed="rId3" cstate="print">
              <a:duotone>
                <a:srgbClr val="9BBB59">
                  <a:shade val="45000"/>
                  <a:satMod val="135000"/>
                </a:srgbClr>
                <a:prstClr val="white"/>
              </a:duotone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b="22568"/>
            <a:stretch/>
          </xdr:blipFill>
          <xdr:spPr bwMode="auto">
            <a:xfrm>
              <a:off x="1991021" y="2705056"/>
              <a:ext cx="407588" cy="352423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9" name="Picture 1" descr="logo de la universidad del quindio">
              <a:extLst>
                <a:ext uri="{FF2B5EF4-FFF2-40B4-BE49-F238E27FC236}">
                  <a16:creationId xmlns:a16="http://schemas.microsoft.com/office/drawing/2014/main" id="{EE0247D6-1D60-4567-B486-EDE34A1966DA}"/>
                </a:ext>
              </a:extLst>
            </xdr:cNvPr>
            <xdr:cNvPicPr>
              <a:picLocks noChangeAspect="1" noChangeArrowheads="1"/>
            </xdr:cNvPicPr>
          </xdr:nvPicPr>
          <xdr:blipFill rotWithShape="1">
            <a:blip xmlns:r="http://schemas.openxmlformats.org/officeDocument/2006/relationships" r:embed="rId4" cstate="print">
              <a:duotone>
                <a:srgbClr val="EEECE1">
                  <a:shade val="45000"/>
                  <a:satMod val="135000"/>
                </a:srgbClr>
                <a:prstClr val="white"/>
              </a:duotone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b="22568"/>
            <a:stretch/>
          </xdr:blipFill>
          <xdr:spPr bwMode="auto">
            <a:xfrm>
              <a:off x="2484039" y="2899048"/>
              <a:ext cx="275320" cy="238056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0" name="Picture 1" descr="logo de la universidad del quindio">
              <a:extLst>
                <a:ext uri="{FF2B5EF4-FFF2-40B4-BE49-F238E27FC236}">
                  <a16:creationId xmlns:a16="http://schemas.microsoft.com/office/drawing/2014/main" id="{39BEAC7E-8009-481A-9C71-3311CC5C0F11}"/>
                </a:ext>
              </a:extLst>
            </xdr:cNvPr>
            <xdr:cNvPicPr>
              <a:picLocks noChangeAspect="1" noChangeArrowheads="1"/>
            </xdr:cNvPicPr>
          </xdr:nvPicPr>
          <xdr:blipFill rotWithShape="1">
            <a:blip xmlns:r="http://schemas.openxmlformats.org/officeDocument/2006/relationships" r:embed="rId5" cstate="print">
              <a:duotone>
                <a:srgbClr val="4F81BD">
                  <a:shade val="45000"/>
                  <a:satMod val="135000"/>
                </a:srgbClr>
                <a:prstClr val="white"/>
              </a:duotone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b="22568"/>
            <a:stretch/>
          </xdr:blipFill>
          <xdr:spPr bwMode="auto">
            <a:xfrm>
              <a:off x="1870718" y="3144511"/>
              <a:ext cx="192937" cy="166823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1" name="Picture 1" descr="logo de la universidad del quindio">
              <a:extLst>
                <a:ext uri="{FF2B5EF4-FFF2-40B4-BE49-F238E27FC236}">
                  <a16:creationId xmlns:a16="http://schemas.microsoft.com/office/drawing/2014/main" id="{5E555FA5-D29F-4CE6-8FD4-D114158BD1D6}"/>
                </a:ext>
              </a:extLst>
            </xdr:cNvPr>
            <xdr:cNvPicPr>
              <a:picLocks noChangeAspect="1" noChangeArrowheads="1"/>
            </xdr:cNvPicPr>
          </xdr:nvPicPr>
          <xdr:blipFill rotWithShape="1">
            <a:blip xmlns:r="http://schemas.openxmlformats.org/officeDocument/2006/relationships" r:embed="rId6" cstate="print">
              <a:duotone>
                <a:srgbClr val="8064A2">
                  <a:shade val="45000"/>
                  <a:satMod val="135000"/>
                </a:srgbClr>
                <a:prstClr val="white"/>
              </a:duotone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b="22568"/>
            <a:stretch/>
          </xdr:blipFill>
          <xdr:spPr bwMode="auto">
            <a:xfrm>
              <a:off x="2627784" y="3175177"/>
              <a:ext cx="153371" cy="132613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2" name="Picture 1" descr="logo de la universidad del quindio">
              <a:extLst>
                <a:ext uri="{FF2B5EF4-FFF2-40B4-BE49-F238E27FC236}">
                  <a16:creationId xmlns:a16="http://schemas.microsoft.com/office/drawing/2014/main" id="{94F5CFBE-3545-445A-A97B-EBA0C2A4D82D}"/>
                </a:ext>
              </a:extLst>
            </xdr:cNvPr>
            <xdr:cNvPicPr>
              <a:picLocks noChangeAspect="1" noChangeArrowheads="1"/>
            </xdr:cNvPicPr>
          </xdr:nvPicPr>
          <xdr:blipFill rotWithShape="1">
            <a:blip xmlns:r="http://schemas.openxmlformats.org/officeDocument/2006/relationships" r:embed="rId7" cstate="print">
              <a:duotone>
                <a:srgbClr val="F79646">
                  <a:shade val="45000"/>
                  <a:satMod val="135000"/>
                </a:srgbClr>
                <a:prstClr val="white"/>
              </a:duotone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b="22568"/>
            <a:stretch/>
          </xdr:blipFill>
          <xdr:spPr bwMode="auto">
            <a:xfrm>
              <a:off x="2195737" y="3141742"/>
              <a:ext cx="275319" cy="238056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3" name="Picture 1" descr="logo de la universidad del quindio">
              <a:extLst>
                <a:ext uri="{FF2B5EF4-FFF2-40B4-BE49-F238E27FC236}">
                  <a16:creationId xmlns:a16="http://schemas.microsoft.com/office/drawing/2014/main" id="{4DAA697F-DE28-4495-BFC0-FAFD71B8256A}"/>
                </a:ext>
              </a:extLst>
            </xdr:cNvPr>
            <xdr:cNvPicPr>
              <a:picLocks noChangeAspect="1" noChangeArrowheads="1"/>
            </xdr:cNvPicPr>
          </xdr:nvPicPr>
          <xdr:blipFill rotWithShape="1">
            <a:blip xmlns:r="http://schemas.openxmlformats.org/officeDocument/2006/relationships" r:embed="rId8" cstate="print">
              <a:duotone>
                <a:srgbClr val="4F81BD">
                  <a:shade val="45000"/>
                  <a:satMod val="135000"/>
                </a:srgbClr>
                <a:prstClr val="white"/>
              </a:duotone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b="22568"/>
            <a:stretch/>
          </xdr:blipFill>
          <xdr:spPr bwMode="auto">
            <a:xfrm>
              <a:off x="2988957" y="2722391"/>
              <a:ext cx="140183" cy="121211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4" name="Picture 1" descr="logo de la universidad del quindio">
              <a:extLst>
                <a:ext uri="{FF2B5EF4-FFF2-40B4-BE49-F238E27FC236}">
                  <a16:creationId xmlns:a16="http://schemas.microsoft.com/office/drawing/2014/main" id="{02CF9460-ADF6-42FD-8F41-2EA5F137B803}"/>
                </a:ext>
              </a:extLst>
            </xdr:cNvPr>
            <xdr:cNvPicPr>
              <a:picLocks noChangeAspect="1" noChangeArrowheads="1"/>
            </xdr:cNvPicPr>
          </xdr:nvPicPr>
          <xdr:blipFill rotWithShape="1">
            <a:blip xmlns:r="http://schemas.openxmlformats.org/officeDocument/2006/relationships" r:embed="rId9" cstate="print">
              <a:duotone>
                <a:srgbClr val="EEECE1">
                  <a:shade val="45000"/>
                  <a:satMod val="135000"/>
                </a:srgbClr>
                <a:prstClr val="white"/>
              </a:duotone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b="22568"/>
            <a:stretch/>
          </xdr:blipFill>
          <xdr:spPr bwMode="auto">
            <a:xfrm>
              <a:off x="2483768" y="3368159"/>
              <a:ext cx="180020" cy="155655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5" name="Picture 1" descr="logo de la universidad del quindio">
              <a:extLst>
                <a:ext uri="{FF2B5EF4-FFF2-40B4-BE49-F238E27FC236}">
                  <a16:creationId xmlns:a16="http://schemas.microsoft.com/office/drawing/2014/main" id="{C0626FBA-1903-47F3-A004-E4BCB1C320E9}"/>
                </a:ext>
              </a:extLst>
            </xdr:cNvPr>
            <xdr:cNvPicPr>
              <a:picLocks noChangeAspect="1" noChangeArrowheads="1"/>
            </xdr:cNvPicPr>
          </xdr:nvPicPr>
          <xdr:blipFill rotWithShape="1">
            <a:blip xmlns:r="http://schemas.openxmlformats.org/officeDocument/2006/relationships" r:embed="rId8" cstate="print">
              <a:duotone>
                <a:srgbClr val="9BBB59">
                  <a:shade val="45000"/>
                  <a:satMod val="135000"/>
                </a:srgbClr>
                <a:prstClr val="white"/>
              </a:duotone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b="22568"/>
            <a:stretch/>
          </xdr:blipFill>
          <xdr:spPr bwMode="auto">
            <a:xfrm>
              <a:off x="2915815" y="2998422"/>
              <a:ext cx="140183" cy="121211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6" name="Picture 1" descr="logo de la universidad del quindio">
              <a:extLst>
                <a:ext uri="{FF2B5EF4-FFF2-40B4-BE49-F238E27FC236}">
                  <a16:creationId xmlns:a16="http://schemas.microsoft.com/office/drawing/2014/main" id="{BCB7C4F0-FC5E-4682-BAFC-0738FB2992DC}"/>
                </a:ext>
              </a:extLst>
            </xdr:cNvPr>
            <xdr:cNvPicPr>
              <a:picLocks noChangeAspect="1" noChangeArrowheads="1"/>
            </xdr:cNvPicPr>
          </xdr:nvPicPr>
          <xdr:blipFill rotWithShape="1">
            <a:blip xmlns:r="http://schemas.openxmlformats.org/officeDocument/2006/relationships" r:embed="rId10" cstate="print">
              <a:duotone>
                <a:srgbClr val="8064A2">
                  <a:shade val="45000"/>
                  <a:satMod val="135000"/>
                </a:srgbClr>
                <a:prstClr val="white"/>
              </a:duotone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b="22568"/>
            <a:stretch/>
          </xdr:blipFill>
          <xdr:spPr bwMode="auto">
            <a:xfrm>
              <a:off x="2544505" y="2731726"/>
              <a:ext cx="83279" cy="72008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7" name="Picture 1" descr="logo de la universidad del quindio">
              <a:extLst>
                <a:ext uri="{FF2B5EF4-FFF2-40B4-BE49-F238E27FC236}">
                  <a16:creationId xmlns:a16="http://schemas.microsoft.com/office/drawing/2014/main" id="{0F8F7E15-D85A-42FB-9A53-1D943C293DD7}"/>
                </a:ext>
              </a:extLst>
            </xdr:cNvPr>
            <xdr:cNvPicPr>
              <a:picLocks noChangeAspect="1" noChangeArrowheads="1"/>
            </xdr:cNvPicPr>
          </xdr:nvPicPr>
          <xdr:blipFill rotWithShape="1">
            <a:blip xmlns:r="http://schemas.openxmlformats.org/officeDocument/2006/relationships" r:embed="rId8" cstate="print">
              <a:duotone>
                <a:srgbClr val="F79646">
                  <a:shade val="45000"/>
                  <a:satMod val="135000"/>
                </a:srgbClr>
                <a:prstClr val="white"/>
              </a:duotone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b="22568"/>
            <a:stretch/>
          </xdr:blipFill>
          <xdr:spPr bwMode="auto">
            <a:xfrm>
              <a:off x="2771800" y="2783681"/>
              <a:ext cx="140183" cy="12121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8" name="Picture 1" descr="logo de la universidad del quindio">
              <a:extLst>
                <a:ext uri="{FF2B5EF4-FFF2-40B4-BE49-F238E27FC236}">
                  <a16:creationId xmlns:a16="http://schemas.microsoft.com/office/drawing/2014/main" id="{518DABF1-7B78-41CB-821A-AEA24F80AF11}"/>
                </a:ext>
              </a:extLst>
            </xdr:cNvPr>
            <xdr:cNvPicPr>
              <a:picLocks noChangeAspect="1" noChangeArrowheads="1"/>
            </xdr:cNvPicPr>
          </xdr:nvPicPr>
          <xdr:blipFill rotWithShape="1">
            <a:blip xmlns:r="http://schemas.openxmlformats.org/officeDocument/2006/relationships" r:embed="rId10" cstate="print">
              <a:duotone>
                <a:srgbClr val="8064A2">
                  <a:shade val="45000"/>
                  <a:satMod val="135000"/>
                </a:srgbClr>
                <a:prstClr val="white"/>
              </a:duotone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b="22568"/>
            <a:stretch/>
          </xdr:blipFill>
          <xdr:spPr bwMode="auto">
            <a:xfrm>
              <a:off x="3132217" y="2892410"/>
              <a:ext cx="83279" cy="72008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9" name="Picture 1" descr="logo de la universidad del quindio">
              <a:extLst>
                <a:ext uri="{FF2B5EF4-FFF2-40B4-BE49-F238E27FC236}">
                  <a16:creationId xmlns:a16="http://schemas.microsoft.com/office/drawing/2014/main" id="{6B85A675-287F-4609-AB6E-62F0BB28A746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0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b="22568"/>
            <a:stretch>
              <a:fillRect/>
            </a:stretch>
          </xdr:blipFill>
          <xdr:spPr bwMode="auto">
            <a:xfrm>
              <a:off x="3408601" y="2876939"/>
              <a:ext cx="83279" cy="72008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</xdr:grp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</xdr:rowOff>
    </xdr:from>
    <xdr:to>
      <xdr:col>26</xdr:col>
      <xdr:colOff>1238250</xdr:colOff>
      <xdr:row>0</xdr:row>
      <xdr:rowOff>895352</xdr:rowOff>
    </xdr:to>
    <xdr:grpSp>
      <xdr:nvGrpSpPr>
        <xdr:cNvPr id="2" name="19 Grupo">
          <a:extLst>
            <a:ext uri="{FF2B5EF4-FFF2-40B4-BE49-F238E27FC236}">
              <a16:creationId xmlns:a16="http://schemas.microsoft.com/office/drawing/2014/main" id="{8ECBC67B-6874-4081-8A74-F61DDA0A228A}"/>
            </a:ext>
          </a:extLst>
        </xdr:cNvPr>
        <xdr:cNvGrpSpPr/>
      </xdr:nvGrpSpPr>
      <xdr:grpSpPr>
        <a:xfrm>
          <a:off x="0" y="1"/>
          <a:ext cx="21063204" cy="867157"/>
          <a:chOff x="2762961" y="9960763"/>
          <a:chExt cx="9310047" cy="1023548"/>
        </a:xfrm>
      </xdr:grpSpPr>
      <xdr:pic>
        <xdr:nvPicPr>
          <xdr:cNvPr id="3" name="3 Imagen">
            <a:extLst>
              <a:ext uri="{FF2B5EF4-FFF2-40B4-BE49-F238E27FC236}">
                <a16:creationId xmlns:a16="http://schemas.microsoft.com/office/drawing/2014/main" id="{04FFF033-632D-44B8-A366-6D570BB048D1}"/>
              </a:ext>
            </a:extLst>
          </xdr:cNvPr>
          <xdr:cNvPicPr preferRelativeResize="0"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4940" t="25337" r="15240" b="14766"/>
          <a:stretch>
            <a:fillRect/>
          </a:stretch>
        </xdr:blipFill>
        <xdr:spPr bwMode="auto">
          <a:xfrm>
            <a:off x="2762961" y="9960764"/>
            <a:ext cx="9310047" cy="101299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4" name="21 CuadroTexto">
            <a:extLst>
              <a:ext uri="{FF2B5EF4-FFF2-40B4-BE49-F238E27FC236}">
                <a16:creationId xmlns:a16="http://schemas.microsoft.com/office/drawing/2014/main" id="{F7E48037-096A-417A-A2AF-F3ED6CBBFD3B}"/>
              </a:ext>
            </a:extLst>
          </xdr:cNvPr>
          <xdr:cNvSpPr txBox="1"/>
        </xdr:nvSpPr>
        <xdr:spPr bwMode="auto">
          <a:xfrm>
            <a:off x="9977142" y="9960763"/>
            <a:ext cx="1745587" cy="965507"/>
          </a:xfrm>
          <a:prstGeom prst="rect">
            <a:avLst/>
          </a:prstGeom>
          <a:noFill/>
          <a:ln w="9525" cmpd="sng">
            <a:noFill/>
          </a:ln>
          <a:effectLst/>
        </xdr:spPr>
        <xdr:txBody>
          <a:bodyPr vertOverflow="clip" horzOverflow="clip" wrap="squar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CO" sz="1600" b="1" i="0" u="none" strike="noStrike" kern="0" cap="none" spc="0" normalizeH="0" baseline="0" noProof="0">
                <a:ln>
                  <a:noFill/>
                </a:ln>
                <a:solidFill>
                  <a:srgbClr val="006600"/>
                </a:solidFill>
                <a:effectLst/>
                <a:uLnTx/>
                <a:uFillTx/>
                <a:latin typeface="Calibri"/>
                <a:ea typeface="+mn-ea"/>
                <a:cs typeface="+mn-cs"/>
              </a:rPr>
              <a:t>UNIVERSIDAD DEL QUINDIO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CO" sz="1100" b="0" i="0" u="none" strike="noStrike" kern="0" cap="none" spc="0" normalizeH="0" baseline="0" noProof="0">
                <a:ln>
                  <a:noFill/>
                </a:ln>
                <a:solidFill>
                  <a:srgbClr val="006600"/>
                </a:solidFill>
                <a:effectLst/>
                <a:uLnTx/>
                <a:uFillTx/>
                <a:latin typeface="Calibri"/>
                <a:ea typeface="+mn-ea"/>
                <a:cs typeface="+mn-cs"/>
              </a:rPr>
              <a:t>Oficina de Asuntos Profesorales</a:t>
            </a:r>
          </a:p>
        </xdr:txBody>
      </xdr:sp>
      <xdr:pic>
        <xdr:nvPicPr>
          <xdr:cNvPr id="5" name="Picture 1" descr="logo de la universidad del quindio">
            <a:extLst>
              <a:ext uri="{FF2B5EF4-FFF2-40B4-BE49-F238E27FC236}">
                <a16:creationId xmlns:a16="http://schemas.microsoft.com/office/drawing/2014/main" id="{A834FE14-7255-4A83-9B96-9193C31B51CF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lum bright="-30000"/>
          </a:blip>
          <a:srcRect/>
          <a:stretch>
            <a:fillRect/>
          </a:stretch>
        </xdr:blipFill>
        <xdr:spPr bwMode="auto">
          <a:xfrm>
            <a:off x="2857347" y="10084229"/>
            <a:ext cx="334944" cy="857868"/>
          </a:xfrm>
          <a:prstGeom prst="rect">
            <a:avLst/>
          </a:prstGeom>
          <a:ln>
            <a:noFill/>
          </a:ln>
          <a:effectLst>
            <a:outerShdw blurRad="292100" dist="50800" dir="2700000" sx="97000" sy="97000" algn="tl" rotWithShape="0">
              <a:srgbClr val="333333">
                <a:alpha val="50000"/>
              </a:srgbClr>
            </a:outerShdw>
          </a:effectLst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6" name="23 CuadroTexto">
            <a:extLst>
              <a:ext uri="{FF2B5EF4-FFF2-40B4-BE49-F238E27FC236}">
                <a16:creationId xmlns:a16="http://schemas.microsoft.com/office/drawing/2014/main" id="{F6D20495-74E4-49C5-A28A-9225B834CDAA}"/>
              </a:ext>
            </a:extLst>
          </xdr:cNvPr>
          <xdr:cNvSpPr txBox="1"/>
        </xdr:nvSpPr>
        <xdr:spPr bwMode="auto">
          <a:xfrm>
            <a:off x="6119712" y="9987143"/>
            <a:ext cx="2619709" cy="997168"/>
          </a:xfrm>
          <a:prstGeom prst="rect">
            <a:avLst/>
          </a:prstGeom>
          <a:solidFill>
            <a:sysClr val="window" lastClr="FFFFFF">
              <a:alpha val="80000"/>
            </a:sysClr>
          </a:solidFill>
          <a:ln w="9525" cmpd="sng">
            <a:noFill/>
          </a:ln>
          <a:effectLst/>
        </xdr:spPr>
        <xdr:txBody>
          <a:bodyPr vertOverflow="clip" horzOverflow="clip" wrap="squar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CO" sz="1200" b="1" i="0" u="none" strike="noStrike" kern="0" cap="none" spc="0" normalizeH="0" baseline="0" noProof="0">
                <a:ln>
                  <a:noFill/>
                </a:ln>
                <a:solidFill>
                  <a:srgbClr val="006600"/>
                </a:solidFill>
                <a:effectLst/>
                <a:uLnTx/>
                <a:uFillTx/>
                <a:latin typeface="Calibri"/>
                <a:ea typeface="+mn-ea"/>
                <a:cs typeface="+mn-cs"/>
              </a:rPr>
              <a:t>Base de Datos Cod: DOC_02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CO" sz="1200" b="1" i="0" u="none" strike="noStrike" kern="0" cap="none" spc="0" normalizeH="0" baseline="0" noProof="0">
                <a:ln>
                  <a:noFill/>
                </a:ln>
                <a:solidFill>
                  <a:srgbClr val="006600"/>
                </a:solidFill>
                <a:effectLst/>
                <a:uLnTx/>
                <a:uFillTx/>
                <a:latin typeface="Calibri"/>
                <a:ea typeface="+mn-ea"/>
                <a:cs typeface="+mn-cs"/>
              </a:rPr>
              <a:t>(PRODUCTIVIDAD ACADEMICA-ARTICULOS EN REVISTAS INDEXADAS)</a:t>
            </a:r>
          </a:p>
        </xdr:txBody>
      </xdr:sp>
      <xdr:grpSp>
        <xdr:nvGrpSpPr>
          <xdr:cNvPr id="7" name="27 Grupo">
            <a:extLst>
              <a:ext uri="{FF2B5EF4-FFF2-40B4-BE49-F238E27FC236}">
                <a16:creationId xmlns:a16="http://schemas.microsoft.com/office/drawing/2014/main" id="{483C39A4-3D7D-49C2-895B-78741D7B183F}"/>
              </a:ext>
            </a:extLst>
          </xdr:cNvPr>
          <xdr:cNvGrpSpPr>
            <a:grpSpLocks/>
          </xdr:cNvGrpSpPr>
        </xdr:nvGrpSpPr>
        <xdr:grpSpPr bwMode="auto">
          <a:xfrm>
            <a:off x="3826429" y="10168218"/>
            <a:ext cx="962406" cy="590550"/>
            <a:chOff x="1991021" y="2705056"/>
            <a:chExt cx="1500859" cy="972913"/>
          </a:xfrm>
        </xdr:grpSpPr>
        <xdr:pic>
          <xdr:nvPicPr>
            <xdr:cNvPr id="8" name="Picture 1" descr="logo de la universidad del quindio">
              <a:extLst>
                <a:ext uri="{FF2B5EF4-FFF2-40B4-BE49-F238E27FC236}">
                  <a16:creationId xmlns:a16="http://schemas.microsoft.com/office/drawing/2014/main" id="{CA841B5E-9492-4103-851D-179E4A169261}"/>
                </a:ext>
              </a:extLst>
            </xdr:cNvPr>
            <xdr:cNvPicPr>
              <a:picLocks noChangeAspect="1" noChangeArrowheads="1"/>
            </xdr:cNvPicPr>
          </xdr:nvPicPr>
          <xdr:blipFill rotWithShape="1">
            <a:blip xmlns:r="http://schemas.openxmlformats.org/officeDocument/2006/relationships" r:embed="rId3" cstate="print">
              <a:duotone>
                <a:srgbClr val="9BBB59">
                  <a:shade val="45000"/>
                  <a:satMod val="135000"/>
                </a:srgbClr>
                <a:prstClr val="white"/>
              </a:duotone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b="22568"/>
            <a:stretch/>
          </xdr:blipFill>
          <xdr:spPr bwMode="auto">
            <a:xfrm>
              <a:off x="1991021" y="2705056"/>
              <a:ext cx="407588" cy="352423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9" name="Picture 1" descr="logo de la universidad del quindio">
              <a:extLst>
                <a:ext uri="{FF2B5EF4-FFF2-40B4-BE49-F238E27FC236}">
                  <a16:creationId xmlns:a16="http://schemas.microsoft.com/office/drawing/2014/main" id="{2ECB9C2A-83BC-4697-ACC9-352542AE5847}"/>
                </a:ext>
              </a:extLst>
            </xdr:cNvPr>
            <xdr:cNvPicPr>
              <a:picLocks noChangeAspect="1" noChangeArrowheads="1"/>
            </xdr:cNvPicPr>
          </xdr:nvPicPr>
          <xdr:blipFill rotWithShape="1">
            <a:blip xmlns:r="http://schemas.openxmlformats.org/officeDocument/2006/relationships" r:embed="rId4" cstate="print">
              <a:duotone>
                <a:srgbClr val="EEECE1">
                  <a:shade val="45000"/>
                  <a:satMod val="135000"/>
                </a:srgbClr>
                <a:prstClr val="white"/>
              </a:duotone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b="22568"/>
            <a:stretch/>
          </xdr:blipFill>
          <xdr:spPr bwMode="auto">
            <a:xfrm>
              <a:off x="2484039" y="2899048"/>
              <a:ext cx="275320" cy="238056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0" name="Picture 1" descr="logo de la universidad del quindio">
              <a:extLst>
                <a:ext uri="{FF2B5EF4-FFF2-40B4-BE49-F238E27FC236}">
                  <a16:creationId xmlns:a16="http://schemas.microsoft.com/office/drawing/2014/main" id="{065248B7-517F-445E-9AA3-C9A2181F714E}"/>
                </a:ext>
              </a:extLst>
            </xdr:cNvPr>
            <xdr:cNvPicPr>
              <a:picLocks noChangeAspect="1" noChangeArrowheads="1"/>
            </xdr:cNvPicPr>
          </xdr:nvPicPr>
          <xdr:blipFill rotWithShape="1">
            <a:blip xmlns:r="http://schemas.openxmlformats.org/officeDocument/2006/relationships" r:embed="rId5" cstate="print">
              <a:duotone>
                <a:srgbClr val="4F81BD">
                  <a:shade val="45000"/>
                  <a:satMod val="135000"/>
                </a:srgbClr>
                <a:prstClr val="white"/>
              </a:duotone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b="22568"/>
            <a:stretch/>
          </xdr:blipFill>
          <xdr:spPr bwMode="auto">
            <a:xfrm>
              <a:off x="2145307" y="3511146"/>
              <a:ext cx="192936" cy="166823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1" name="Picture 1" descr="logo de la universidad del quindio">
              <a:extLst>
                <a:ext uri="{FF2B5EF4-FFF2-40B4-BE49-F238E27FC236}">
                  <a16:creationId xmlns:a16="http://schemas.microsoft.com/office/drawing/2014/main" id="{AD41F029-ECAB-4825-B105-3FC29961C153}"/>
                </a:ext>
              </a:extLst>
            </xdr:cNvPr>
            <xdr:cNvPicPr>
              <a:picLocks noChangeAspect="1" noChangeArrowheads="1"/>
            </xdr:cNvPicPr>
          </xdr:nvPicPr>
          <xdr:blipFill rotWithShape="1">
            <a:blip xmlns:r="http://schemas.openxmlformats.org/officeDocument/2006/relationships" r:embed="rId6" cstate="print">
              <a:duotone>
                <a:srgbClr val="8064A2">
                  <a:shade val="45000"/>
                  <a:satMod val="135000"/>
                </a:srgbClr>
                <a:prstClr val="white"/>
              </a:duotone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b="22568"/>
            <a:stretch/>
          </xdr:blipFill>
          <xdr:spPr bwMode="auto">
            <a:xfrm>
              <a:off x="2627784" y="3175177"/>
              <a:ext cx="153371" cy="132613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2" name="Picture 1" descr="logo de la universidad del quindio">
              <a:extLst>
                <a:ext uri="{FF2B5EF4-FFF2-40B4-BE49-F238E27FC236}">
                  <a16:creationId xmlns:a16="http://schemas.microsoft.com/office/drawing/2014/main" id="{18EF32D0-7C89-4853-BAE1-E29740AEDC07}"/>
                </a:ext>
              </a:extLst>
            </xdr:cNvPr>
            <xdr:cNvPicPr>
              <a:picLocks noChangeAspect="1" noChangeArrowheads="1"/>
            </xdr:cNvPicPr>
          </xdr:nvPicPr>
          <xdr:blipFill rotWithShape="1">
            <a:blip xmlns:r="http://schemas.openxmlformats.org/officeDocument/2006/relationships" r:embed="rId7" cstate="print">
              <a:duotone>
                <a:srgbClr val="F79646">
                  <a:shade val="45000"/>
                  <a:satMod val="135000"/>
                </a:srgbClr>
                <a:prstClr val="white"/>
              </a:duotone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b="22568"/>
            <a:stretch/>
          </xdr:blipFill>
          <xdr:spPr bwMode="auto">
            <a:xfrm>
              <a:off x="2195737" y="3141742"/>
              <a:ext cx="275319" cy="238056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3" name="Picture 1" descr="logo de la universidad del quindio">
              <a:extLst>
                <a:ext uri="{FF2B5EF4-FFF2-40B4-BE49-F238E27FC236}">
                  <a16:creationId xmlns:a16="http://schemas.microsoft.com/office/drawing/2014/main" id="{0291B7E0-1C4B-46B6-8CA3-4DA56537272B}"/>
                </a:ext>
              </a:extLst>
            </xdr:cNvPr>
            <xdr:cNvPicPr>
              <a:picLocks noChangeAspect="1" noChangeArrowheads="1"/>
            </xdr:cNvPicPr>
          </xdr:nvPicPr>
          <xdr:blipFill rotWithShape="1">
            <a:blip xmlns:r="http://schemas.openxmlformats.org/officeDocument/2006/relationships" r:embed="rId8" cstate="print">
              <a:duotone>
                <a:srgbClr val="4F81BD">
                  <a:shade val="45000"/>
                  <a:satMod val="135000"/>
                </a:srgbClr>
                <a:prstClr val="white"/>
              </a:duotone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b="22568"/>
            <a:stretch/>
          </xdr:blipFill>
          <xdr:spPr bwMode="auto">
            <a:xfrm>
              <a:off x="2988957" y="2722391"/>
              <a:ext cx="140183" cy="121211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4" name="Picture 1" descr="logo de la universidad del quindio">
              <a:extLst>
                <a:ext uri="{FF2B5EF4-FFF2-40B4-BE49-F238E27FC236}">
                  <a16:creationId xmlns:a16="http://schemas.microsoft.com/office/drawing/2014/main" id="{3AA95436-4CC1-4ADE-B5AF-1FC21924088B}"/>
                </a:ext>
              </a:extLst>
            </xdr:cNvPr>
            <xdr:cNvPicPr>
              <a:picLocks noChangeAspect="1" noChangeArrowheads="1"/>
            </xdr:cNvPicPr>
          </xdr:nvPicPr>
          <xdr:blipFill rotWithShape="1">
            <a:blip xmlns:r="http://schemas.openxmlformats.org/officeDocument/2006/relationships" r:embed="rId9" cstate="print">
              <a:duotone>
                <a:srgbClr val="EEECE1">
                  <a:shade val="45000"/>
                  <a:satMod val="135000"/>
                </a:srgbClr>
                <a:prstClr val="white"/>
              </a:duotone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b="22568"/>
            <a:stretch/>
          </xdr:blipFill>
          <xdr:spPr bwMode="auto">
            <a:xfrm>
              <a:off x="2483768" y="3368159"/>
              <a:ext cx="180020" cy="155655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5" name="Picture 1" descr="logo de la universidad del quindio">
              <a:extLst>
                <a:ext uri="{FF2B5EF4-FFF2-40B4-BE49-F238E27FC236}">
                  <a16:creationId xmlns:a16="http://schemas.microsoft.com/office/drawing/2014/main" id="{938735DA-DB5F-4F06-BE66-19CC40C5FB65}"/>
                </a:ext>
              </a:extLst>
            </xdr:cNvPr>
            <xdr:cNvPicPr>
              <a:picLocks noChangeAspect="1" noChangeArrowheads="1"/>
            </xdr:cNvPicPr>
          </xdr:nvPicPr>
          <xdr:blipFill rotWithShape="1">
            <a:blip xmlns:r="http://schemas.openxmlformats.org/officeDocument/2006/relationships" r:embed="rId8" cstate="print">
              <a:duotone>
                <a:srgbClr val="9BBB59">
                  <a:shade val="45000"/>
                  <a:satMod val="135000"/>
                </a:srgbClr>
                <a:prstClr val="white"/>
              </a:duotone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b="22568"/>
            <a:stretch/>
          </xdr:blipFill>
          <xdr:spPr bwMode="auto">
            <a:xfrm>
              <a:off x="2915815" y="2998422"/>
              <a:ext cx="140183" cy="121211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6" name="Picture 1" descr="logo de la universidad del quindio">
              <a:extLst>
                <a:ext uri="{FF2B5EF4-FFF2-40B4-BE49-F238E27FC236}">
                  <a16:creationId xmlns:a16="http://schemas.microsoft.com/office/drawing/2014/main" id="{6E75CEC4-AD52-4B09-A70A-A5E7849AFB72}"/>
                </a:ext>
              </a:extLst>
            </xdr:cNvPr>
            <xdr:cNvPicPr>
              <a:picLocks noChangeAspect="1" noChangeArrowheads="1"/>
            </xdr:cNvPicPr>
          </xdr:nvPicPr>
          <xdr:blipFill rotWithShape="1">
            <a:blip xmlns:r="http://schemas.openxmlformats.org/officeDocument/2006/relationships" r:embed="rId10" cstate="print">
              <a:duotone>
                <a:srgbClr val="8064A2">
                  <a:shade val="45000"/>
                  <a:satMod val="135000"/>
                </a:srgbClr>
                <a:prstClr val="white"/>
              </a:duotone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b="22568"/>
            <a:stretch/>
          </xdr:blipFill>
          <xdr:spPr bwMode="auto">
            <a:xfrm>
              <a:off x="2544505" y="2731726"/>
              <a:ext cx="83279" cy="72008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7" name="Picture 1" descr="logo de la universidad del quindio">
              <a:extLst>
                <a:ext uri="{FF2B5EF4-FFF2-40B4-BE49-F238E27FC236}">
                  <a16:creationId xmlns:a16="http://schemas.microsoft.com/office/drawing/2014/main" id="{3C458362-1FD4-455A-ACF2-B37E685B3720}"/>
                </a:ext>
              </a:extLst>
            </xdr:cNvPr>
            <xdr:cNvPicPr>
              <a:picLocks noChangeAspect="1" noChangeArrowheads="1"/>
            </xdr:cNvPicPr>
          </xdr:nvPicPr>
          <xdr:blipFill rotWithShape="1">
            <a:blip xmlns:r="http://schemas.openxmlformats.org/officeDocument/2006/relationships" r:embed="rId8" cstate="print">
              <a:duotone>
                <a:srgbClr val="F79646">
                  <a:shade val="45000"/>
                  <a:satMod val="135000"/>
                </a:srgbClr>
                <a:prstClr val="white"/>
              </a:duotone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b="22568"/>
            <a:stretch/>
          </xdr:blipFill>
          <xdr:spPr bwMode="auto">
            <a:xfrm>
              <a:off x="2771800" y="2783681"/>
              <a:ext cx="140183" cy="12121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8" name="Picture 1" descr="logo de la universidad del quindio">
              <a:extLst>
                <a:ext uri="{FF2B5EF4-FFF2-40B4-BE49-F238E27FC236}">
                  <a16:creationId xmlns:a16="http://schemas.microsoft.com/office/drawing/2014/main" id="{8C2F8F0D-47CA-48A4-A8E0-6E0F97BBA136}"/>
                </a:ext>
              </a:extLst>
            </xdr:cNvPr>
            <xdr:cNvPicPr>
              <a:picLocks noChangeAspect="1" noChangeArrowheads="1"/>
            </xdr:cNvPicPr>
          </xdr:nvPicPr>
          <xdr:blipFill rotWithShape="1">
            <a:blip xmlns:r="http://schemas.openxmlformats.org/officeDocument/2006/relationships" r:embed="rId10" cstate="print">
              <a:duotone>
                <a:srgbClr val="8064A2">
                  <a:shade val="45000"/>
                  <a:satMod val="135000"/>
                </a:srgbClr>
                <a:prstClr val="white"/>
              </a:duotone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b="22568"/>
            <a:stretch/>
          </xdr:blipFill>
          <xdr:spPr bwMode="auto">
            <a:xfrm>
              <a:off x="3132217" y="2892410"/>
              <a:ext cx="83279" cy="72008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9" name="Picture 1" descr="logo de la universidad del quindio">
              <a:extLst>
                <a:ext uri="{FF2B5EF4-FFF2-40B4-BE49-F238E27FC236}">
                  <a16:creationId xmlns:a16="http://schemas.microsoft.com/office/drawing/2014/main" id="{E65D9F5C-11D4-41CA-9AF5-932E526E4427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0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b="22568"/>
            <a:stretch>
              <a:fillRect/>
            </a:stretch>
          </xdr:blipFill>
          <xdr:spPr bwMode="auto">
            <a:xfrm>
              <a:off x="3408601" y="2876939"/>
              <a:ext cx="83279" cy="72008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</xdr:grpSp>
    </xdr:grpSp>
    <xdr:clientData/>
  </xdr:twoCellAnchor>
  <xdr:oneCellAnchor>
    <xdr:from>
      <xdr:col>9</xdr:col>
      <xdr:colOff>581025</xdr:colOff>
      <xdr:row>3</xdr:row>
      <xdr:rowOff>0</xdr:rowOff>
    </xdr:from>
    <xdr:ext cx="184731" cy="264560"/>
    <xdr:sp macro="" textlink="">
      <xdr:nvSpPr>
        <xdr:cNvPr id="20" name="CuadroTexto 19">
          <a:extLst>
            <a:ext uri="{FF2B5EF4-FFF2-40B4-BE49-F238E27FC236}">
              <a16:creationId xmlns:a16="http://schemas.microsoft.com/office/drawing/2014/main" id="{7278819F-5108-417D-A6E2-4A8DE2098EA7}"/>
            </a:ext>
          </a:extLst>
        </xdr:cNvPr>
        <xdr:cNvSpPr txBox="1"/>
      </xdr:nvSpPr>
      <xdr:spPr>
        <a:xfrm>
          <a:off x="6657975" y="1552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9</xdr:col>
      <xdr:colOff>581025</xdr:colOff>
      <xdr:row>3</xdr:row>
      <xdr:rowOff>0</xdr:rowOff>
    </xdr:from>
    <xdr:ext cx="184731" cy="264560"/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4B5CB30F-DE0A-422C-8A22-C6849F3EE32F}"/>
            </a:ext>
          </a:extLst>
        </xdr:cNvPr>
        <xdr:cNvSpPr txBox="1"/>
      </xdr:nvSpPr>
      <xdr:spPr>
        <a:xfrm>
          <a:off x="6657975" y="1552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9</xdr:col>
      <xdr:colOff>581025</xdr:colOff>
      <xdr:row>3</xdr:row>
      <xdr:rowOff>0</xdr:rowOff>
    </xdr:from>
    <xdr:ext cx="184731" cy="264560"/>
    <xdr:sp macro="" textlink="">
      <xdr:nvSpPr>
        <xdr:cNvPr id="22" name="CuadroTexto 21">
          <a:extLst>
            <a:ext uri="{FF2B5EF4-FFF2-40B4-BE49-F238E27FC236}">
              <a16:creationId xmlns:a16="http://schemas.microsoft.com/office/drawing/2014/main" id="{B6E45F26-B9FC-47EB-AEF2-99FBBA85B4FC}"/>
            </a:ext>
          </a:extLst>
        </xdr:cNvPr>
        <xdr:cNvSpPr txBox="1"/>
      </xdr:nvSpPr>
      <xdr:spPr>
        <a:xfrm>
          <a:off x="6657975" y="1552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7</xdr:col>
      <xdr:colOff>581025</xdr:colOff>
      <xdr:row>3</xdr:row>
      <xdr:rowOff>0</xdr:rowOff>
    </xdr:from>
    <xdr:ext cx="184731" cy="264560"/>
    <xdr:sp macro="" textlink="">
      <xdr:nvSpPr>
        <xdr:cNvPr id="23" name="CuadroTexto 22">
          <a:extLst>
            <a:ext uri="{FF2B5EF4-FFF2-40B4-BE49-F238E27FC236}">
              <a16:creationId xmlns:a16="http://schemas.microsoft.com/office/drawing/2014/main" id="{E4913B52-C701-40F5-BEA8-1B6A750A8697}"/>
            </a:ext>
          </a:extLst>
        </xdr:cNvPr>
        <xdr:cNvSpPr txBox="1"/>
      </xdr:nvSpPr>
      <xdr:spPr>
        <a:xfrm>
          <a:off x="5133975" y="1552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7</xdr:col>
      <xdr:colOff>581025</xdr:colOff>
      <xdr:row>3</xdr:row>
      <xdr:rowOff>0</xdr:rowOff>
    </xdr:from>
    <xdr:ext cx="184731" cy="264560"/>
    <xdr:sp macro="" textlink="">
      <xdr:nvSpPr>
        <xdr:cNvPr id="24" name="CuadroTexto 23">
          <a:extLst>
            <a:ext uri="{FF2B5EF4-FFF2-40B4-BE49-F238E27FC236}">
              <a16:creationId xmlns:a16="http://schemas.microsoft.com/office/drawing/2014/main" id="{EF89DC0B-77E1-4277-A19B-0F15CC29FE5B}"/>
            </a:ext>
          </a:extLst>
        </xdr:cNvPr>
        <xdr:cNvSpPr txBox="1"/>
      </xdr:nvSpPr>
      <xdr:spPr>
        <a:xfrm>
          <a:off x="5133975" y="1552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7</xdr:col>
      <xdr:colOff>581025</xdr:colOff>
      <xdr:row>3</xdr:row>
      <xdr:rowOff>0</xdr:rowOff>
    </xdr:from>
    <xdr:ext cx="184731" cy="264560"/>
    <xdr:sp macro="" textlink="">
      <xdr:nvSpPr>
        <xdr:cNvPr id="25" name="CuadroTexto 24">
          <a:extLst>
            <a:ext uri="{FF2B5EF4-FFF2-40B4-BE49-F238E27FC236}">
              <a16:creationId xmlns:a16="http://schemas.microsoft.com/office/drawing/2014/main" id="{B3B2D8F4-D1EB-42B3-922D-E73BB02682EF}"/>
            </a:ext>
          </a:extLst>
        </xdr:cNvPr>
        <xdr:cNvSpPr txBox="1"/>
      </xdr:nvSpPr>
      <xdr:spPr>
        <a:xfrm>
          <a:off x="5133975" y="1552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7</xdr:col>
      <xdr:colOff>581025</xdr:colOff>
      <xdr:row>3</xdr:row>
      <xdr:rowOff>0</xdr:rowOff>
    </xdr:from>
    <xdr:ext cx="184731" cy="264560"/>
    <xdr:sp macro="" textlink="">
      <xdr:nvSpPr>
        <xdr:cNvPr id="26" name="CuadroTexto 25">
          <a:extLst>
            <a:ext uri="{FF2B5EF4-FFF2-40B4-BE49-F238E27FC236}">
              <a16:creationId xmlns:a16="http://schemas.microsoft.com/office/drawing/2014/main" id="{7C15BCA0-F74F-46D9-AE23-A0BD7852D51F}"/>
            </a:ext>
          </a:extLst>
        </xdr:cNvPr>
        <xdr:cNvSpPr txBox="1"/>
      </xdr:nvSpPr>
      <xdr:spPr>
        <a:xfrm>
          <a:off x="5133975" y="1552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9</xdr:col>
      <xdr:colOff>581025</xdr:colOff>
      <xdr:row>3</xdr:row>
      <xdr:rowOff>0</xdr:rowOff>
    </xdr:from>
    <xdr:ext cx="184731" cy="264560"/>
    <xdr:sp macro="" textlink="">
      <xdr:nvSpPr>
        <xdr:cNvPr id="27" name="CuadroTexto 26">
          <a:extLst>
            <a:ext uri="{FF2B5EF4-FFF2-40B4-BE49-F238E27FC236}">
              <a16:creationId xmlns:a16="http://schemas.microsoft.com/office/drawing/2014/main" id="{FB9D390B-73D4-40FA-BB92-59CBDCBA7367}"/>
            </a:ext>
          </a:extLst>
        </xdr:cNvPr>
        <xdr:cNvSpPr txBox="1"/>
      </xdr:nvSpPr>
      <xdr:spPr>
        <a:xfrm>
          <a:off x="6657975" y="1552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9</xdr:col>
      <xdr:colOff>581025</xdr:colOff>
      <xdr:row>3</xdr:row>
      <xdr:rowOff>0</xdr:rowOff>
    </xdr:from>
    <xdr:ext cx="184731" cy="264560"/>
    <xdr:sp macro="" textlink="">
      <xdr:nvSpPr>
        <xdr:cNvPr id="28" name="CuadroTexto 27">
          <a:extLst>
            <a:ext uri="{FF2B5EF4-FFF2-40B4-BE49-F238E27FC236}">
              <a16:creationId xmlns:a16="http://schemas.microsoft.com/office/drawing/2014/main" id="{BC87FD32-C7B9-43B9-8BE8-2A73F767AD4C}"/>
            </a:ext>
          </a:extLst>
        </xdr:cNvPr>
        <xdr:cNvSpPr txBox="1"/>
      </xdr:nvSpPr>
      <xdr:spPr>
        <a:xfrm>
          <a:off x="6657975" y="1552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9</xdr:col>
      <xdr:colOff>581025</xdr:colOff>
      <xdr:row>3</xdr:row>
      <xdr:rowOff>0</xdr:rowOff>
    </xdr:from>
    <xdr:ext cx="184731" cy="264560"/>
    <xdr:sp macro="" textlink="">
      <xdr:nvSpPr>
        <xdr:cNvPr id="29" name="CuadroTexto 28">
          <a:extLst>
            <a:ext uri="{FF2B5EF4-FFF2-40B4-BE49-F238E27FC236}">
              <a16:creationId xmlns:a16="http://schemas.microsoft.com/office/drawing/2014/main" id="{9A2A82F1-F19F-4DF0-92D4-FE15C1B5C438}"/>
            </a:ext>
          </a:extLst>
        </xdr:cNvPr>
        <xdr:cNvSpPr txBox="1"/>
      </xdr:nvSpPr>
      <xdr:spPr>
        <a:xfrm>
          <a:off x="6657975" y="1552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9</xdr:col>
      <xdr:colOff>581025</xdr:colOff>
      <xdr:row>3</xdr:row>
      <xdr:rowOff>0</xdr:rowOff>
    </xdr:from>
    <xdr:ext cx="184731" cy="264560"/>
    <xdr:sp macro="" textlink="">
      <xdr:nvSpPr>
        <xdr:cNvPr id="30" name="CuadroTexto 29">
          <a:extLst>
            <a:ext uri="{FF2B5EF4-FFF2-40B4-BE49-F238E27FC236}">
              <a16:creationId xmlns:a16="http://schemas.microsoft.com/office/drawing/2014/main" id="{7C65DF4C-8AAD-4855-A839-52023CDA45AA}"/>
            </a:ext>
          </a:extLst>
        </xdr:cNvPr>
        <xdr:cNvSpPr txBox="1"/>
      </xdr:nvSpPr>
      <xdr:spPr>
        <a:xfrm>
          <a:off x="6657975" y="1552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10</xdr:col>
      <xdr:colOff>581025</xdr:colOff>
      <xdr:row>3</xdr:row>
      <xdr:rowOff>0</xdr:rowOff>
    </xdr:from>
    <xdr:ext cx="184731" cy="264560"/>
    <xdr:sp macro="" textlink="">
      <xdr:nvSpPr>
        <xdr:cNvPr id="31" name="CuadroTexto 30">
          <a:extLst>
            <a:ext uri="{FF2B5EF4-FFF2-40B4-BE49-F238E27FC236}">
              <a16:creationId xmlns:a16="http://schemas.microsoft.com/office/drawing/2014/main" id="{9C2F0AD2-6877-45C3-8546-0D6FA9DAC671}"/>
            </a:ext>
          </a:extLst>
        </xdr:cNvPr>
        <xdr:cNvSpPr txBox="1"/>
      </xdr:nvSpPr>
      <xdr:spPr>
        <a:xfrm>
          <a:off x="7419975" y="1552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10</xdr:col>
      <xdr:colOff>581025</xdr:colOff>
      <xdr:row>3</xdr:row>
      <xdr:rowOff>0</xdr:rowOff>
    </xdr:from>
    <xdr:ext cx="184731" cy="264560"/>
    <xdr:sp macro="" textlink="">
      <xdr:nvSpPr>
        <xdr:cNvPr id="32" name="CuadroTexto 31">
          <a:extLst>
            <a:ext uri="{FF2B5EF4-FFF2-40B4-BE49-F238E27FC236}">
              <a16:creationId xmlns:a16="http://schemas.microsoft.com/office/drawing/2014/main" id="{28163A0B-4E87-4EFB-ABC5-679920A46C4D}"/>
            </a:ext>
          </a:extLst>
        </xdr:cNvPr>
        <xdr:cNvSpPr txBox="1"/>
      </xdr:nvSpPr>
      <xdr:spPr>
        <a:xfrm>
          <a:off x="7419975" y="1552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10</xdr:col>
      <xdr:colOff>581025</xdr:colOff>
      <xdr:row>3</xdr:row>
      <xdr:rowOff>0</xdr:rowOff>
    </xdr:from>
    <xdr:ext cx="184731" cy="264560"/>
    <xdr:sp macro="" textlink="">
      <xdr:nvSpPr>
        <xdr:cNvPr id="33" name="CuadroTexto 32">
          <a:extLst>
            <a:ext uri="{FF2B5EF4-FFF2-40B4-BE49-F238E27FC236}">
              <a16:creationId xmlns:a16="http://schemas.microsoft.com/office/drawing/2014/main" id="{92EA5044-503D-4F7A-8881-B53040290037}"/>
            </a:ext>
          </a:extLst>
        </xdr:cNvPr>
        <xdr:cNvSpPr txBox="1"/>
      </xdr:nvSpPr>
      <xdr:spPr>
        <a:xfrm>
          <a:off x="7419975" y="1552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10</xdr:col>
      <xdr:colOff>581025</xdr:colOff>
      <xdr:row>3</xdr:row>
      <xdr:rowOff>0</xdr:rowOff>
    </xdr:from>
    <xdr:ext cx="184731" cy="264560"/>
    <xdr:sp macro="" textlink="">
      <xdr:nvSpPr>
        <xdr:cNvPr id="34" name="CuadroTexto 33">
          <a:extLst>
            <a:ext uri="{FF2B5EF4-FFF2-40B4-BE49-F238E27FC236}">
              <a16:creationId xmlns:a16="http://schemas.microsoft.com/office/drawing/2014/main" id="{57F0414A-4E14-42EB-8920-8041CE022C2F}"/>
            </a:ext>
          </a:extLst>
        </xdr:cNvPr>
        <xdr:cNvSpPr txBox="1"/>
      </xdr:nvSpPr>
      <xdr:spPr>
        <a:xfrm>
          <a:off x="7419975" y="1552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9</xdr:col>
      <xdr:colOff>581025</xdr:colOff>
      <xdr:row>3</xdr:row>
      <xdr:rowOff>0</xdr:rowOff>
    </xdr:from>
    <xdr:ext cx="184731" cy="264560"/>
    <xdr:sp macro="" textlink="">
      <xdr:nvSpPr>
        <xdr:cNvPr id="35" name="CuadroTexto 34">
          <a:extLst>
            <a:ext uri="{FF2B5EF4-FFF2-40B4-BE49-F238E27FC236}">
              <a16:creationId xmlns:a16="http://schemas.microsoft.com/office/drawing/2014/main" id="{F856DB65-1928-4460-868A-CDC1925AD043}"/>
            </a:ext>
          </a:extLst>
        </xdr:cNvPr>
        <xdr:cNvSpPr txBox="1"/>
      </xdr:nvSpPr>
      <xdr:spPr>
        <a:xfrm>
          <a:off x="6657975" y="1552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9</xdr:col>
      <xdr:colOff>581025</xdr:colOff>
      <xdr:row>3</xdr:row>
      <xdr:rowOff>0</xdr:rowOff>
    </xdr:from>
    <xdr:ext cx="184731" cy="264560"/>
    <xdr:sp macro="" textlink="">
      <xdr:nvSpPr>
        <xdr:cNvPr id="36" name="CuadroTexto 35">
          <a:extLst>
            <a:ext uri="{FF2B5EF4-FFF2-40B4-BE49-F238E27FC236}">
              <a16:creationId xmlns:a16="http://schemas.microsoft.com/office/drawing/2014/main" id="{3D8C52E7-A18C-4F9F-91C1-8D8CC3E96CC7}"/>
            </a:ext>
          </a:extLst>
        </xdr:cNvPr>
        <xdr:cNvSpPr txBox="1"/>
      </xdr:nvSpPr>
      <xdr:spPr>
        <a:xfrm>
          <a:off x="6657975" y="1552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9</xdr:col>
      <xdr:colOff>581025</xdr:colOff>
      <xdr:row>3</xdr:row>
      <xdr:rowOff>0</xdr:rowOff>
    </xdr:from>
    <xdr:ext cx="184731" cy="264560"/>
    <xdr:sp macro="" textlink="">
      <xdr:nvSpPr>
        <xdr:cNvPr id="37" name="CuadroTexto 36">
          <a:extLst>
            <a:ext uri="{FF2B5EF4-FFF2-40B4-BE49-F238E27FC236}">
              <a16:creationId xmlns:a16="http://schemas.microsoft.com/office/drawing/2014/main" id="{DA3EBCE2-283F-4531-9275-B5195D1B4FB8}"/>
            </a:ext>
          </a:extLst>
        </xdr:cNvPr>
        <xdr:cNvSpPr txBox="1"/>
      </xdr:nvSpPr>
      <xdr:spPr>
        <a:xfrm>
          <a:off x="6657975" y="1552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7</xdr:col>
      <xdr:colOff>581025</xdr:colOff>
      <xdr:row>3</xdr:row>
      <xdr:rowOff>0</xdr:rowOff>
    </xdr:from>
    <xdr:ext cx="184731" cy="264560"/>
    <xdr:sp macro="" textlink="">
      <xdr:nvSpPr>
        <xdr:cNvPr id="38" name="CuadroTexto 37">
          <a:extLst>
            <a:ext uri="{FF2B5EF4-FFF2-40B4-BE49-F238E27FC236}">
              <a16:creationId xmlns:a16="http://schemas.microsoft.com/office/drawing/2014/main" id="{E7EEE468-3CAA-4EDE-B76B-1D9784426492}"/>
            </a:ext>
          </a:extLst>
        </xdr:cNvPr>
        <xdr:cNvSpPr txBox="1"/>
      </xdr:nvSpPr>
      <xdr:spPr>
        <a:xfrm>
          <a:off x="5133975" y="1552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7</xdr:col>
      <xdr:colOff>581025</xdr:colOff>
      <xdr:row>3</xdr:row>
      <xdr:rowOff>0</xdr:rowOff>
    </xdr:from>
    <xdr:ext cx="184731" cy="264560"/>
    <xdr:sp macro="" textlink="">
      <xdr:nvSpPr>
        <xdr:cNvPr id="39" name="CuadroTexto 38">
          <a:extLst>
            <a:ext uri="{FF2B5EF4-FFF2-40B4-BE49-F238E27FC236}">
              <a16:creationId xmlns:a16="http://schemas.microsoft.com/office/drawing/2014/main" id="{0CB9EA00-A9E6-43C9-B0C8-5F57A3091ECE}"/>
            </a:ext>
          </a:extLst>
        </xdr:cNvPr>
        <xdr:cNvSpPr txBox="1"/>
      </xdr:nvSpPr>
      <xdr:spPr>
        <a:xfrm>
          <a:off x="5133975" y="1552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7</xdr:col>
      <xdr:colOff>581025</xdr:colOff>
      <xdr:row>3</xdr:row>
      <xdr:rowOff>0</xdr:rowOff>
    </xdr:from>
    <xdr:ext cx="184731" cy="264560"/>
    <xdr:sp macro="" textlink="">
      <xdr:nvSpPr>
        <xdr:cNvPr id="40" name="CuadroTexto 39">
          <a:extLst>
            <a:ext uri="{FF2B5EF4-FFF2-40B4-BE49-F238E27FC236}">
              <a16:creationId xmlns:a16="http://schemas.microsoft.com/office/drawing/2014/main" id="{58692B27-BF51-4729-8DFA-81391BE71167}"/>
            </a:ext>
          </a:extLst>
        </xdr:cNvPr>
        <xdr:cNvSpPr txBox="1"/>
      </xdr:nvSpPr>
      <xdr:spPr>
        <a:xfrm>
          <a:off x="5133975" y="1552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7</xdr:col>
      <xdr:colOff>581025</xdr:colOff>
      <xdr:row>3</xdr:row>
      <xdr:rowOff>0</xdr:rowOff>
    </xdr:from>
    <xdr:ext cx="184731" cy="264560"/>
    <xdr:sp macro="" textlink="">
      <xdr:nvSpPr>
        <xdr:cNvPr id="41" name="CuadroTexto 40">
          <a:extLst>
            <a:ext uri="{FF2B5EF4-FFF2-40B4-BE49-F238E27FC236}">
              <a16:creationId xmlns:a16="http://schemas.microsoft.com/office/drawing/2014/main" id="{3536B1FF-65F4-43D2-8D27-03666C8A6332}"/>
            </a:ext>
          </a:extLst>
        </xdr:cNvPr>
        <xdr:cNvSpPr txBox="1"/>
      </xdr:nvSpPr>
      <xdr:spPr>
        <a:xfrm>
          <a:off x="5133975" y="1552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9</xdr:col>
      <xdr:colOff>581025</xdr:colOff>
      <xdr:row>3</xdr:row>
      <xdr:rowOff>0</xdr:rowOff>
    </xdr:from>
    <xdr:ext cx="184731" cy="264560"/>
    <xdr:sp macro="" textlink="">
      <xdr:nvSpPr>
        <xdr:cNvPr id="42" name="CuadroTexto 41">
          <a:extLst>
            <a:ext uri="{FF2B5EF4-FFF2-40B4-BE49-F238E27FC236}">
              <a16:creationId xmlns:a16="http://schemas.microsoft.com/office/drawing/2014/main" id="{E2FD6131-6EAE-4644-8406-B2F8D8CF40FA}"/>
            </a:ext>
          </a:extLst>
        </xdr:cNvPr>
        <xdr:cNvSpPr txBox="1"/>
      </xdr:nvSpPr>
      <xdr:spPr>
        <a:xfrm>
          <a:off x="6657975" y="1552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9</xdr:col>
      <xdr:colOff>581025</xdr:colOff>
      <xdr:row>3</xdr:row>
      <xdr:rowOff>0</xdr:rowOff>
    </xdr:from>
    <xdr:ext cx="184731" cy="264560"/>
    <xdr:sp macro="" textlink="">
      <xdr:nvSpPr>
        <xdr:cNvPr id="43" name="CuadroTexto 42">
          <a:extLst>
            <a:ext uri="{FF2B5EF4-FFF2-40B4-BE49-F238E27FC236}">
              <a16:creationId xmlns:a16="http://schemas.microsoft.com/office/drawing/2014/main" id="{03D2AA68-C9BD-48BF-9230-FFC2EBBD1EEC}"/>
            </a:ext>
          </a:extLst>
        </xdr:cNvPr>
        <xdr:cNvSpPr txBox="1"/>
      </xdr:nvSpPr>
      <xdr:spPr>
        <a:xfrm>
          <a:off x="6657975" y="1552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9</xdr:col>
      <xdr:colOff>581025</xdr:colOff>
      <xdr:row>3</xdr:row>
      <xdr:rowOff>0</xdr:rowOff>
    </xdr:from>
    <xdr:ext cx="184731" cy="264560"/>
    <xdr:sp macro="" textlink="">
      <xdr:nvSpPr>
        <xdr:cNvPr id="44" name="CuadroTexto 43">
          <a:extLst>
            <a:ext uri="{FF2B5EF4-FFF2-40B4-BE49-F238E27FC236}">
              <a16:creationId xmlns:a16="http://schemas.microsoft.com/office/drawing/2014/main" id="{85062752-D716-460F-AAE6-FAE58591D9BF}"/>
            </a:ext>
          </a:extLst>
        </xdr:cNvPr>
        <xdr:cNvSpPr txBox="1"/>
      </xdr:nvSpPr>
      <xdr:spPr>
        <a:xfrm>
          <a:off x="6657975" y="1552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9</xdr:col>
      <xdr:colOff>581025</xdr:colOff>
      <xdr:row>3</xdr:row>
      <xdr:rowOff>0</xdr:rowOff>
    </xdr:from>
    <xdr:ext cx="184731" cy="264560"/>
    <xdr:sp macro="" textlink="">
      <xdr:nvSpPr>
        <xdr:cNvPr id="45" name="CuadroTexto 44">
          <a:extLst>
            <a:ext uri="{FF2B5EF4-FFF2-40B4-BE49-F238E27FC236}">
              <a16:creationId xmlns:a16="http://schemas.microsoft.com/office/drawing/2014/main" id="{C47778DF-99C2-4CD8-AE81-4AAE7531CDBE}"/>
            </a:ext>
          </a:extLst>
        </xdr:cNvPr>
        <xdr:cNvSpPr txBox="1"/>
      </xdr:nvSpPr>
      <xdr:spPr>
        <a:xfrm>
          <a:off x="6657975" y="1552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10</xdr:col>
      <xdr:colOff>581025</xdr:colOff>
      <xdr:row>3</xdr:row>
      <xdr:rowOff>0</xdr:rowOff>
    </xdr:from>
    <xdr:ext cx="184731" cy="264560"/>
    <xdr:sp macro="" textlink="">
      <xdr:nvSpPr>
        <xdr:cNvPr id="46" name="CuadroTexto 45">
          <a:extLst>
            <a:ext uri="{FF2B5EF4-FFF2-40B4-BE49-F238E27FC236}">
              <a16:creationId xmlns:a16="http://schemas.microsoft.com/office/drawing/2014/main" id="{2D5DF10F-B632-49A6-AE22-51D9DDD64D1E}"/>
            </a:ext>
          </a:extLst>
        </xdr:cNvPr>
        <xdr:cNvSpPr txBox="1"/>
      </xdr:nvSpPr>
      <xdr:spPr>
        <a:xfrm>
          <a:off x="7419975" y="1552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10</xdr:col>
      <xdr:colOff>581025</xdr:colOff>
      <xdr:row>3</xdr:row>
      <xdr:rowOff>0</xdr:rowOff>
    </xdr:from>
    <xdr:ext cx="184731" cy="264560"/>
    <xdr:sp macro="" textlink="">
      <xdr:nvSpPr>
        <xdr:cNvPr id="47" name="CuadroTexto 46">
          <a:extLst>
            <a:ext uri="{FF2B5EF4-FFF2-40B4-BE49-F238E27FC236}">
              <a16:creationId xmlns:a16="http://schemas.microsoft.com/office/drawing/2014/main" id="{8E4B2753-2FD8-4229-85D3-BCB174ED5DEC}"/>
            </a:ext>
          </a:extLst>
        </xdr:cNvPr>
        <xdr:cNvSpPr txBox="1"/>
      </xdr:nvSpPr>
      <xdr:spPr>
        <a:xfrm>
          <a:off x="7419975" y="1552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10</xdr:col>
      <xdr:colOff>581025</xdr:colOff>
      <xdr:row>3</xdr:row>
      <xdr:rowOff>0</xdr:rowOff>
    </xdr:from>
    <xdr:ext cx="184731" cy="264560"/>
    <xdr:sp macro="" textlink="">
      <xdr:nvSpPr>
        <xdr:cNvPr id="48" name="CuadroTexto 47">
          <a:extLst>
            <a:ext uri="{FF2B5EF4-FFF2-40B4-BE49-F238E27FC236}">
              <a16:creationId xmlns:a16="http://schemas.microsoft.com/office/drawing/2014/main" id="{3643BF4E-B44B-431E-A761-AD1AE27746D1}"/>
            </a:ext>
          </a:extLst>
        </xdr:cNvPr>
        <xdr:cNvSpPr txBox="1"/>
      </xdr:nvSpPr>
      <xdr:spPr>
        <a:xfrm>
          <a:off x="7419975" y="1552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9</xdr:col>
      <xdr:colOff>581025</xdr:colOff>
      <xdr:row>4</xdr:row>
      <xdr:rowOff>0</xdr:rowOff>
    </xdr:from>
    <xdr:ext cx="184731" cy="264560"/>
    <xdr:sp macro="" textlink="">
      <xdr:nvSpPr>
        <xdr:cNvPr id="50" name="CuadroTexto 49">
          <a:extLst>
            <a:ext uri="{FF2B5EF4-FFF2-40B4-BE49-F238E27FC236}">
              <a16:creationId xmlns:a16="http://schemas.microsoft.com/office/drawing/2014/main" id="{D95F09A4-0B2E-44CB-9727-F2CA1BFA1AA5}"/>
            </a:ext>
          </a:extLst>
        </xdr:cNvPr>
        <xdr:cNvSpPr txBox="1"/>
      </xdr:nvSpPr>
      <xdr:spPr>
        <a:xfrm>
          <a:off x="7562850" y="1743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9</xdr:col>
      <xdr:colOff>581025</xdr:colOff>
      <xdr:row>4</xdr:row>
      <xdr:rowOff>0</xdr:rowOff>
    </xdr:from>
    <xdr:ext cx="184731" cy="264560"/>
    <xdr:sp macro="" textlink="">
      <xdr:nvSpPr>
        <xdr:cNvPr id="51" name="CuadroTexto 50">
          <a:extLst>
            <a:ext uri="{FF2B5EF4-FFF2-40B4-BE49-F238E27FC236}">
              <a16:creationId xmlns:a16="http://schemas.microsoft.com/office/drawing/2014/main" id="{561B15AE-ED0C-4E9E-980D-C9875374E656}"/>
            </a:ext>
          </a:extLst>
        </xdr:cNvPr>
        <xdr:cNvSpPr txBox="1"/>
      </xdr:nvSpPr>
      <xdr:spPr>
        <a:xfrm>
          <a:off x="7562850" y="1743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9</xdr:col>
      <xdr:colOff>581025</xdr:colOff>
      <xdr:row>4</xdr:row>
      <xdr:rowOff>0</xdr:rowOff>
    </xdr:from>
    <xdr:ext cx="184731" cy="264560"/>
    <xdr:sp macro="" textlink="">
      <xdr:nvSpPr>
        <xdr:cNvPr id="52" name="CuadroTexto 51">
          <a:extLst>
            <a:ext uri="{FF2B5EF4-FFF2-40B4-BE49-F238E27FC236}">
              <a16:creationId xmlns:a16="http://schemas.microsoft.com/office/drawing/2014/main" id="{40640D93-E4A1-47D6-88B9-741D76CB909F}"/>
            </a:ext>
          </a:extLst>
        </xdr:cNvPr>
        <xdr:cNvSpPr txBox="1"/>
      </xdr:nvSpPr>
      <xdr:spPr>
        <a:xfrm>
          <a:off x="7562850" y="1743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7</xdr:col>
      <xdr:colOff>581025</xdr:colOff>
      <xdr:row>4</xdr:row>
      <xdr:rowOff>0</xdr:rowOff>
    </xdr:from>
    <xdr:ext cx="184731" cy="264560"/>
    <xdr:sp macro="" textlink="">
      <xdr:nvSpPr>
        <xdr:cNvPr id="53" name="CuadroTexto 52">
          <a:extLst>
            <a:ext uri="{FF2B5EF4-FFF2-40B4-BE49-F238E27FC236}">
              <a16:creationId xmlns:a16="http://schemas.microsoft.com/office/drawing/2014/main" id="{147C1FC2-76D6-4E46-84DE-CC7E0F57C7B2}"/>
            </a:ext>
          </a:extLst>
        </xdr:cNvPr>
        <xdr:cNvSpPr txBox="1"/>
      </xdr:nvSpPr>
      <xdr:spPr>
        <a:xfrm>
          <a:off x="5915025" y="1743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7</xdr:col>
      <xdr:colOff>581025</xdr:colOff>
      <xdr:row>4</xdr:row>
      <xdr:rowOff>0</xdr:rowOff>
    </xdr:from>
    <xdr:ext cx="184731" cy="264560"/>
    <xdr:sp macro="" textlink="">
      <xdr:nvSpPr>
        <xdr:cNvPr id="54" name="CuadroTexto 53">
          <a:extLst>
            <a:ext uri="{FF2B5EF4-FFF2-40B4-BE49-F238E27FC236}">
              <a16:creationId xmlns:a16="http://schemas.microsoft.com/office/drawing/2014/main" id="{4D451CB5-5AE5-466F-A175-115AA11FD5DB}"/>
            </a:ext>
          </a:extLst>
        </xdr:cNvPr>
        <xdr:cNvSpPr txBox="1"/>
      </xdr:nvSpPr>
      <xdr:spPr>
        <a:xfrm>
          <a:off x="5915025" y="1743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7</xdr:col>
      <xdr:colOff>581025</xdr:colOff>
      <xdr:row>4</xdr:row>
      <xdr:rowOff>0</xdr:rowOff>
    </xdr:from>
    <xdr:ext cx="184731" cy="264560"/>
    <xdr:sp macro="" textlink="">
      <xdr:nvSpPr>
        <xdr:cNvPr id="55" name="CuadroTexto 54">
          <a:extLst>
            <a:ext uri="{FF2B5EF4-FFF2-40B4-BE49-F238E27FC236}">
              <a16:creationId xmlns:a16="http://schemas.microsoft.com/office/drawing/2014/main" id="{31A82022-AD23-4BBF-A24C-2BE5A9C00DD8}"/>
            </a:ext>
          </a:extLst>
        </xdr:cNvPr>
        <xdr:cNvSpPr txBox="1"/>
      </xdr:nvSpPr>
      <xdr:spPr>
        <a:xfrm>
          <a:off x="5915025" y="1743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7</xdr:col>
      <xdr:colOff>581025</xdr:colOff>
      <xdr:row>4</xdr:row>
      <xdr:rowOff>0</xdr:rowOff>
    </xdr:from>
    <xdr:ext cx="184731" cy="264560"/>
    <xdr:sp macro="" textlink="">
      <xdr:nvSpPr>
        <xdr:cNvPr id="56" name="CuadroTexto 55">
          <a:extLst>
            <a:ext uri="{FF2B5EF4-FFF2-40B4-BE49-F238E27FC236}">
              <a16:creationId xmlns:a16="http://schemas.microsoft.com/office/drawing/2014/main" id="{4969BBEA-EDCD-4917-BB15-9C55F4CC14BC}"/>
            </a:ext>
          </a:extLst>
        </xdr:cNvPr>
        <xdr:cNvSpPr txBox="1"/>
      </xdr:nvSpPr>
      <xdr:spPr>
        <a:xfrm>
          <a:off x="5915025" y="1743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9</xdr:col>
      <xdr:colOff>581025</xdr:colOff>
      <xdr:row>4</xdr:row>
      <xdr:rowOff>0</xdr:rowOff>
    </xdr:from>
    <xdr:ext cx="184731" cy="264560"/>
    <xdr:sp macro="" textlink="">
      <xdr:nvSpPr>
        <xdr:cNvPr id="57" name="CuadroTexto 56">
          <a:extLst>
            <a:ext uri="{FF2B5EF4-FFF2-40B4-BE49-F238E27FC236}">
              <a16:creationId xmlns:a16="http://schemas.microsoft.com/office/drawing/2014/main" id="{478996D0-865A-49CB-BE6A-36A3E263F1AD}"/>
            </a:ext>
          </a:extLst>
        </xdr:cNvPr>
        <xdr:cNvSpPr txBox="1"/>
      </xdr:nvSpPr>
      <xdr:spPr>
        <a:xfrm>
          <a:off x="7562850" y="1743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9</xdr:col>
      <xdr:colOff>581025</xdr:colOff>
      <xdr:row>4</xdr:row>
      <xdr:rowOff>0</xdr:rowOff>
    </xdr:from>
    <xdr:ext cx="184731" cy="264560"/>
    <xdr:sp macro="" textlink="">
      <xdr:nvSpPr>
        <xdr:cNvPr id="58" name="CuadroTexto 57">
          <a:extLst>
            <a:ext uri="{FF2B5EF4-FFF2-40B4-BE49-F238E27FC236}">
              <a16:creationId xmlns:a16="http://schemas.microsoft.com/office/drawing/2014/main" id="{D7F84649-E8D3-4CB2-9D93-2EC5DCFCCBC5}"/>
            </a:ext>
          </a:extLst>
        </xdr:cNvPr>
        <xdr:cNvSpPr txBox="1"/>
      </xdr:nvSpPr>
      <xdr:spPr>
        <a:xfrm>
          <a:off x="7562850" y="1743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9</xdr:col>
      <xdr:colOff>581025</xdr:colOff>
      <xdr:row>4</xdr:row>
      <xdr:rowOff>0</xdr:rowOff>
    </xdr:from>
    <xdr:ext cx="184731" cy="264560"/>
    <xdr:sp macro="" textlink="">
      <xdr:nvSpPr>
        <xdr:cNvPr id="59" name="CuadroTexto 58">
          <a:extLst>
            <a:ext uri="{FF2B5EF4-FFF2-40B4-BE49-F238E27FC236}">
              <a16:creationId xmlns:a16="http://schemas.microsoft.com/office/drawing/2014/main" id="{18316102-B7CC-4AAA-8BF5-F4CEADD7D61A}"/>
            </a:ext>
          </a:extLst>
        </xdr:cNvPr>
        <xdr:cNvSpPr txBox="1"/>
      </xdr:nvSpPr>
      <xdr:spPr>
        <a:xfrm>
          <a:off x="7562850" y="1743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9</xdr:col>
      <xdr:colOff>581025</xdr:colOff>
      <xdr:row>4</xdr:row>
      <xdr:rowOff>0</xdr:rowOff>
    </xdr:from>
    <xdr:ext cx="184731" cy="264560"/>
    <xdr:sp macro="" textlink="">
      <xdr:nvSpPr>
        <xdr:cNvPr id="60" name="CuadroTexto 59">
          <a:extLst>
            <a:ext uri="{FF2B5EF4-FFF2-40B4-BE49-F238E27FC236}">
              <a16:creationId xmlns:a16="http://schemas.microsoft.com/office/drawing/2014/main" id="{B9318D5C-37A5-4CD0-AC00-E24DEAB5C818}"/>
            </a:ext>
          </a:extLst>
        </xdr:cNvPr>
        <xdr:cNvSpPr txBox="1"/>
      </xdr:nvSpPr>
      <xdr:spPr>
        <a:xfrm>
          <a:off x="7562850" y="1743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10</xdr:col>
      <xdr:colOff>581025</xdr:colOff>
      <xdr:row>4</xdr:row>
      <xdr:rowOff>0</xdr:rowOff>
    </xdr:from>
    <xdr:ext cx="184731" cy="264560"/>
    <xdr:sp macro="" textlink="">
      <xdr:nvSpPr>
        <xdr:cNvPr id="61" name="CuadroTexto 60">
          <a:extLst>
            <a:ext uri="{FF2B5EF4-FFF2-40B4-BE49-F238E27FC236}">
              <a16:creationId xmlns:a16="http://schemas.microsoft.com/office/drawing/2014/main" id="{7FF02D45-1B4D-4E80-BD40-DDAC0DDC1A38}"/>
            </a:ext>
          </a:extLst>
        </xdr:cNvPr>
        <xdr:cNvSpPr txBox="1"/>
      </xdr:nvSpPr>
      <xdr:spPr>
        <a:xfrm>
          <a:off x="8324850" y="1743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10</xdr:col>
      <xdr:colOff>581025</xdr:colOff>
      <xdr:row>4</xdr:row>
      <xdr:rowOff>0</xdr:rowOff>
    </xdr:from>
    <xdr:ext cx="184731" cy="264560"/>
    <xdr:sp macro="" textlink="">
      <xdr:nvSpPr>
        <xdr:cNvPr id="62" name="CuadroTexto 61">
          <a:extLst>
            <a:ext uri="{FF2B5EF4-FFF2-40B4-BE49-F238E27FC236}">
              <a16:creationId xmlns:a16="http://schemas.microsoft.com/office/drawing/2014/main" id="{A2914D02-008A-45DF-BB75-6636448A7296}"/>
            </a:ext>
          </a:extLst>
        </xdr:cNvPr>
        <xdr:cNvSpPr txBox="1"/>
      </xdr:nvSpPr>
      <xdr:spPr>
        <a:xfrm>
          <a:off x="8324850" y="1743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10</xdr:col>
      <xdr:colOff>581025</xdr:colOff>
      <xdr:row>4</xdr:row>
      <xdr:rowOff>0</xdr:rowOff>
    </xdr:from>
    <xdr:ext cx="184731" cy="264560"/>
    <xdr:sp macro="" textlink="">
      <xdr:nvSpPr>
        <xdr:cNvPr id="63" name="CuadroTexto 62">
          <a:extLst>
            <a:ext uri="{FF2B5EF4-FFF2-40B4-BE49-F238E27FC236}">
              <a16:creationId xmlns:a16="http://schemas.microsoft.com/office/drawing/2014/main" id="{7C28FC36-96BF-4FCE-B41F-C589ED051347}"/>
            </a:ext>
          </a:extLst>
        </xdr:cNvPr>
        <xdr:cNvSpPr txBox="1"/>
      </xdr:nvSpPr>
      <xdr:spPr>
        <a:xfrm>
          <a:off x="8324850" y="1743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9</xdr:col>
      <xdr:colOff>581025</xdr:colOff>
      <xdr:row>4</xdr:row>
      <xdr:rowOff>0</xdr:rowOff>
    </xdr:from>
    <xdr:ext cx="184731" cy="264560"/>
    <xdr:sp macro="" textlink="">
      <xdr:nvSpPr>
        <xdr:cNvPr id="65" name="CuadroTexto 64">
          <a:extLst>
            <a:ext uri="{FF2B5EF4-FFF2-40B4-BE49-F238E27FC236}">
              <a16:creationId xmlns:a16="http://schemas.microsoft.com/office/drawing/2014/main" id="{7D2AA629-CD79-466A-B4B2-1CBF39468B20}"/>
            </a:ext>
          </a:extLst>
        </xdr:cNvPr>
        <xdr:cNvSpPr txBox="1"/>
      </xdr:nvSpPr>
      <xdr:spPr>
        <a:xfrm>
          <a:off x="7562850" y="1743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9</xdr:col>
      <xdr:colOff>581025</xdr:colOff>
      <xdr:row>4</xdr:row>
      <xdr:rowOff>0</xdr:rowOff>
    </xdr:from>
    <xdr:ext cx="184731" cy="264560"/>
    <xdr:sp macro="" textlink="">
      <xdr:nvSpPr>
        <xdr:cNvPr id="66" name="CuadroTexto 65">
          <a:extLst>
            <a:ext uri="{FF2B5EF4-FFF2-40B4-BE49-F238E27FC236}">
              <a16:creationId xmlns:a16="http://schemas.microsoft.com/office/drawing/2014/main" id="{672C85ED-EBD6-4624-AD41-14AC71C4EAB4}"/>
            </a:ext>
          </a:extLst>
        </xdr:cNvPr>
        <xdr:cNvSpPr txBox="1"/>
      </xdr:nvSpPr>
      <xdr:spPr>
        <a:xfrm>
          <a:off x="7562850" y="1743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9</xdr:col>
      <xdr:colOff>581025</xdr:colOff>
      <xdr:row>4</xdr:row>
      <xdr:rowOff>0</xdr:rowOff>
    </xdr:from>
    <xdr:ext cx="184731" cy="264560"/>
    <xdr:sp macro="" textlink="">
      <xdr:nvSpPr>
        <xdr:cNvPr id="67" name="CuadroTexto 66">
          <a:extLst>
            <a:ext uri="{FF2B5EF4-FFF2-40B4-BE49-F238E27FC236}">
              <a16:creationId xmlns:a16="http://schemas.microsoft.com/office/drawing/2014/main" id="{43C1B7F4-CE54-4304-B7AF-E4938BD37CD3}"/>
            </a:ext>
          </a:extLst>
        </xdr:cNvPr>
        <xdr:cNvSpPr txBox="1"/>
      </xdr:nvSpPr>
      <xdr:spPr>
        <a:xfrm>
          <a:off x="7562850" y="1743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7</xdr:col>
      <xdr:colOff>581025</xdr:colOff>
      <xdr:row>4</xdr:row>
      <xdr:rowOff>0</xdr:rowOff>
    </xdr:from>
    <xdr:ext cx="184731" cy="264560"/>
    <xdr:sp macro="" textlink="">
      <xdr:nvSpPr>
        <xdr:cNvPr id="68" name="CuadroTexto 67">
          <a:extLst>
            <a:ext uri="{FF2B5EF4-FFF2-40B4-BE49-F238E27FC236}">
              <a16:creationId xmlns:a16="http://schemas.microsoft.com/office/drawing/2014/main" id="{A6EB98F3-0080-4C80-BD01-D8B573FDDF63}"/>
            </a:ext>
          </a:extLst>
        </xdr:cNvPr>
        <xdr:cNvSpPr txBox="1"/>
      </xdr:nvSpPr>
      <xdr:spPr>
        <a:xfrm>
          <a:off x="5915025" y="1743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7</xdr:col>
      <xdr:colOff>581025</xdr:colOff>
      <xdr:row>4</xdr:row>
      <xdr:rowOff>0</xdr:rowOff>
    </xdr:from>
    <xdr:ext cx="184731" cy="264560"/>
    <xdr:sp macro="" textlink="">
      <xdr:nvSpPr>
        <xdr:cNvPr id="69" name="CuadroTexto 68">
          <a:extLst>
            <a:ext uri="{FF2B5EF4-FFF2-40B4-BE49-F238E27FC236}">
              <a16:creationId xmlns:a16="http://schemas.microsoft.com/office/drawing/2014/main" id="{D5EB5D70-DEF0-44DD-BBDB-22E0B510956D}"/>
            </a:ext>
          </a:extLst>
        </xdr:cNvPr>
        <xdr:cNvSpPr txBox="1"/>
      </xdr:nvSpPr>
      <xdr:spPr>
        <a:xfrm>
          <a:off x="5915025" y="1743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7</xdr:col>
      <xdr:colOff>581025</xdr:colOff>
      <xdr:row>4</xdr:row>
      <xdr:rowOff>0</xdr:rowOff>
    </xdr:from>
    <xdr:ext cx="184731" cy="264560"/>
    <xdr:sp macro="" textlink="">
      <xdr:nvSpPr>
        <xdr:cNvPr id="70" name="CuadroTexto 69">
          <a:extLst>
            <a:ext uri="{FF2B5EF4-FFF2-40B4-BE49-F238E27FC236}">
              <a16:creationId xmlns:a16="http://schemas.microsoft.com/office/drawing/2014/main" id="{793A1061-E09D-4DF2-9DB3-B132D0D71B0B}"/>
            </a:ext>
          </a:extLst>
        </xdr:cNvPr>
        <xdr:cNvSpPr txBox="1"/>
      </xdr:nvSpPr>
      <xdr:spPr>
        <a:xfrm>
          <a:off x="5915025" y="1743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7</xdr:col>
      <xdr:colOff>581025</xdr:colOff>
      <xdr:row>4</xdr:row>
      <xdr:rowOff>0</xdr:rowOff>
    </xdr:from>
    <xdr:ext cx="184731" cy="264560"/>
    <xdr:sp macro="" textlink="">
      <xdr:nvSpPr>
        <xdr:cNvPr id="71" name="CuadroTexto 70">
          <a:extLst>
            <a:ext uri="{FF2B5EF4-FFF2-40B4-BE49-F238E27FC236}">
              <a16:creationId xmlns:a16="http://schemas.microsoft.com/office/drawing/2014/main" id="{3CB561DB-DF1F-41EB-A97A-C8FE97848C97}"/>
            </a:ext>
          </a:extLst>
        </xdr:cNvPr>
        <xdr:cNvSpPr txBox="1"/>
      </xdr:nvSpPr>
      <xdr:spPr>
        <a:xfrm>
          <a:off x="5915025" y="1743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9</xdr:col>
      <xdr:colOff>581025</xdr:colOff>
      <xdr:row>4</xdr:row>
      <xdr:rowOff>0</xdr:rowOff>
    </xdr:from>
    <xdr:ext cx="184731" cy="264560"/>
    <xdr:sp macro="" textlink="">
      <xdr:nvSpPr>
        <xdr:cNvPr id="72" name="CuadroTexto 71">
          <a:extLst>
            <a:ext uri="{FF2B5EF4-FFF2-40B4-BE49-F238E27FC236}">
              <a16:creationId xmlns:a16="http://schemas.microsoft.com/office/drawing/2014/main" id="{53D1BBF6-57C9-4286-B2F3-F5A62F0DCB6A}"/>
            </a:ext>
          </a:extLst>
        </xdr:cNvPr>
        <xdr:cNvSpPr txBox="1"/>
      </xdr:nvSpPr>
      <xdr:spPr>
        <a:xfrm>
          <a:off x="7562850" y="1743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9</xdr:col>
      <xdr:colOff>581025</xdr:colOff>
      <xdr:row>4</xdr:row>
      <xdr:rowOff>0</xdr:rowOff>
    </xdr:from>
    <xdr:ext cx="184731" cy="264560"/>
    <xdr:sp macro="" textlink="">
      <xdr:nvSpPr>
        <xdr:cNvPr id="73" name="CuadroTexto 72">
          <a:extLst>
            <a:ext uri="{FF2B5EF4-FFF2-40B4-BE49-F238E27FC236}">
              <a16:creationId xmlns:a16="http://schemas.microsoft.com/office/drawing/2014/main" id="{6D605099-2627-43BE-BF4D-DBA6B9B1FF1F}"/>
            </a:ext>
          </a:extLst>
        </xdr:cNvPr>
        <xdr:cNvSpPr txBox="1"/>
      </xdr:nvSpPr>
      <xdr:spPr>
        <a:xfrm>
          <a:off x="7562850" y="1743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9</xdr:col>
      <xdr:colOff>581025</xdr:colOff>
      <xdr:row>4</xdr:row>
      <xdr:rowOff>0</xdr:rowOff>
    </xdr:from>
    <xdr:ext cx="184731" cy="264560"/>
    <xdr:sp macro="" textlink="">
      <xdr:nvSpPr>
        <xdr:cNvPr id="74" name="CuadroTexto 73">
          <a:extLst>
            <a:ext uri="{FF2B5EF4-FFF2-40B4-BE49-F238E27FC236}">
              <a16:creationId xmlns:a16="http://schemas.microsoft.com/office/drawing/2014/main" id="{AA90E793-0CD6-4FDC-BDFB-74A6C025C2B8}"/>
            </a:ext>
          </a:extLst>
        </xdr:cNvPr>
        <xdr:cNvSpPr txBox="1"/>
      </xdr:nvSpPr>
      <xdr:spPr>
        <a:xfrm>
          <a:off x="7562850" y="1743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9</xdr:col>
      <xdr:colOff>581025</xdr:colOff>
      <xdr:row>4</xdr:row>
      <xdr:rowOff>0</xdr:rowOff>
    </xdr:from>
    <xdr:ext cx="184731" cy="264560"/>
    <xdr:sp macro="" textlink="">
      <xdr:nvSpPr>
        <xdr:cNvPr id="75" name="CuadroTexto 74">
          <a:extLst>
            <a:ext uri="{FF2B5EF4-FFF2-40B4-BE49-F238E27FC236}">
              <a16:creationId xmlns:a16="http://schemas.microsoft.com/office/drawing/2014/main" id="{F7088736-F2D2-425E-A98C-4C14FFA0A79E}"/>
            </a:ext>
          </a:extLst>
        </xdr:cNvPr>
        <xdr:cNvSpPr txBox="1"/>
      </xdr:nvSpPr>
      <xdr:spPr>
        <a:xfrm>
          <a:off x="7562850" y="1743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9</xdr:col>
      <xdr:colOff>581025</xdr:colOff>
      <xdr:row>5</xdr:row>
      <xdr:rowOff>0</xdr:rowOff>
    </xdr:from>
    <xdr:ext cx="184731" cy="264560"/>
    <xdr:sp macro="" textlink="">
      <xdr:nvSpPr>
        <xdr:cNvPr id="80" name="CuadroTexto 79">
          <a:extLst>
            <a:ext uri="{FF2B5EF4-FFF2-40B4-BE49-F238E27FC236}">
              <a16:creationId xmlns:a16="http://schemas.microsoft.com/office/drawing/2014/main" id="{5F6AE85E-CE48-4F6B-B795-E2A78F04EDBE}"/>
            </a:ext>
          </a:extLst>
        </xdr:cNvPr>
        <xdr:cNvSpPr txBox="1"/>
      </xdr:nvSpPr>
      <xdr:spPr>
        <a:xfrm>
          <a:off x="7562850" y="1743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9</xdr:col>
      <xdr:colOff>581025</xdr:colOff>
      <xdr:row>5</xdr:row>
      <xdr:rowOff>0</xdr:rowOff>
    </xdr:from>
    <xdr:ext cx="184731" cy="264560"/>
    <xdr:sp macro="" textlink="">
      <xdr:nvSpPr>
        <xdr:cNvPr id="81" name="CuadroTexto 80">
          <a:extLst>
            <a:ext uri="{FF2B5EF4-FFF2-40B4-BE49-F238E27FC236}">
              <a16:creationId xmlns:a16="http://schemas.microsoft.com/office/drawing/2014/main" id="{6F59F283-576F-4E19-8DA9-2334A8A16C7F}"/>
            </a:ext>
          </a:extLst>
        </xdr:cNvPr>
        <xdr:cNvSpPr txBox="1"/>
      </xdr:nvSpPr>
      <xdr:spPr>
        <a:xfrm>
          <a:off x="7562850" y="1743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9</xdr:col>
      <xdr:colOff>581025</xdr:colOff>
      <xdr:row>5</xdr:row>
      <xdr:rowOff>0</xdr:rowOff>
    </xdr:from>
    <xdr:ext cx="184731" cy="264560"/>
    <xdr:sp macro="" textlink="">
      <xdr:nvSpPr>
        <xdr:cNvPr id="82" name="CuadroTexto 81">
          <a:extLst>
            <a:ext uri="{FF2B5EF4-FFF2-40B4-BE49-F238E27FC236}">
              <a16:creationId xmlns:a16="http://schemas.microsoft.com/office/drawing/2014/main" id="{BEFDB5D0-CD0B-495A-8504-2031C91CB007}"/>
            </a:ext>
          </a:extLst>
        </xdr:cNvPr>
        <xdr:cNvSpPr txBox="1"/>
      </xdr:nvSpPr>
      <xdr:spPr>
        <a:xfrm>
          <a:off x="7562850" y="1743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7</xdr:col>
      <xdr:colOff>581025</xdr:colOff>
      <xdr:row>5</xdr:row>
      <xdr:rowOff>0</xdr:rowOff>
    </xdr:from>
    <xdr:ext cx="184731" cy="264560"/>
    <xdr:sp macro="" textlink="">
      <xdr:nvSpPr>
        <xdr:cNvPr id="83" name="CuadroTexto 82">
          <a:extLst>
            <a:ext uri="{FF2B5EF4-FFF2-40B4-BE49-F238E27FC236}">
              <a16:creationId xmlns:a16="http://schemas.microsoft.com/office/drawing/2014/main" id="{F40C4818-EC08-4191-9260-D5DD57807FCF}"/>
            </a:ext>
          </a:extLst>
        </xdr:cNvPr>
        <xdr:cNvSpPr txBox="1"/>
      </xdr:nvSpPr>
      <xdr:spPr>
        <a:xfrm>
          <a:off x="5915025" y="1743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7</xdr:col>
      <xdr:colOff>581025</xdr:colOff>
      <xdr:row>5</xdr:row>
      <xdr:rowOff>0</xdr:rowOff>
    </xdr:from>
    <xdr:ext cx="184731" cy="264560"/>
    <xdr:sp macro="" textlink="">
      <xdr:nvSpPr>
        <xdr:cNvPr id="84" name="CuadroTexto 83">
          <a:extLst>
            <a:ext uri="{FF2B5EF4-FFF2-40B4-BE49-F238E27FC236}">
              <a16:creationId xmlns:a16="http://schemas.microsoft.com/office/drawing/2014/main" id="{D0929833-0DA3-499B-8897-2CAD4F6114AB}"/>
            </a:ext>
          </a:extLst>
        </xdr:cNvPr>
        <xdr:cNvSpPr txBox="1"/>
      </xdr:nvSpPr>
      <xdr:spPr>
        <a:xfrm>
          <a:off x="5915025" y="1743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7</xdr:col>
      <xdr:colOff>581025</xdr:colOff>
      <xdr:row>5</xdr:row>
      <xdr:rowOff>0</xdr:rowOff>
    </xdr:from>
    <xdr:ext cx="184731" cy="264560"/>
    <xdr:sp macro="" textlink="">
      <xdr:nvSpPr>
        <xdr:cNvPr id="85" name="CuadroTexto 84">
          <a:extLst>
            <a:ext uri="{FF2B5EF4-FFF2-40B4-BE49-F238E27FC236}">
              <a16:creationId xmlns:a16="http://schemas.microsoft.com/office/drawing/2014/main" id="{CA8D4510-0ADA-4750-BCCB-1ADAFAF6C9C5}"/>
            </a:ext>
          </a:extLst>
        </xdr:cNvPr>
        <xdr:cNvSpPr txBox="1"/>
      </xdr:nvSpPr>
      <xdr:spPr>
        <a:xfrm>
          <a:off x="5915025" y="1743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7</xdr:col>
      <xdr:colOff>581025</xdr:colOff>
      <xdr:row>5</xdr:row>
      <xdr:rowOff>0</xdr:rowOff>
    </xdr:from>
    <xdr:ext cx="184731" cy="264560"/>
    <xdr:sp macro="" textlink="">
      <xdr:nvSpPr>
        <xdr:cNvPr id="86" name="CuadroTexto 85">
          <a:extLst>
            <a:ext uri="{FF2B5EF4-FFF2-40B4-BE49-F238E27FC236}">
              <a16:creationId xmlns:a16="http://schemas.microsoft.com/office/drawing/2014/main" id="{66505652-1586-4300-AB29-E66BE0D20991}"/>
            </a:ext>
          </a:extLst>
        </xdr:cNvPr>
        <xdr:cNvSpPr txBox="1"/>
      </xdr:nvSpPr>
      <xdr:spPr>
        <a:xfrm>
          <a:off x="5915025" y="1743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9</xdr:col>
      <xdr:colOff>581025</xdr:colOff>
      <xdr:row>5</xdr:row>
      <xdr:rowOff>0</xdr:rowOff>
    </xdr:from>
    <xdr:ext cx="184731" cy="264560"/>
    <xdr:sp macro="" textlink="">
      <xdr:nvSpPr>
        <xdr:cNvPr id="87" name="CuadroTexto 86">
          <a:extLst>
            <a:ext uri="{FF2B5EF4-FFF2-40B4-BE49-F238E27FC236}">
              <a16:creationId xmlns:a16="http://schemas.microsoft.com/office/drawing/2014/main" id="{FBA8B8D1-93DB-4ADB-A76A-408FCC3BB4F9}"/>
            </a:ext>
          </a:extLst>
        </xdr:cNvPr>
        <xdr:cNvSpPr txBox="1"/>
      </xdr:nvSpPr>
      <xdr:spPr>
        <a:xfrm>
          <a:off x="7562850" y="1743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9</xdr:col>
      <xdr:colOff>581025</xdr:colOff>
      <xdr:row>5</xdr:row>
      <xdr:rowOff>0</xdr:rowOff>
    </xdr:from>
    <xdr:ext cx="184731" cy="264560"/>
    <xdr:sp macro="" textlink="">
      <xdr:nvSpPr>
        <xdr:cNvPr id="88" name="CuadroTexto 87">
          <a:extLst>
            <a:ext uri="{FF2B5EF4-FFF2-40B4-BE49-F238E27FC236}">
              <a16:creationId xmlns:a16="http://schemas.microsoft.com/office/drawing/2014/main" id="{E518F7E7-D7D1-4C0F-86C7-343F2BAA610B}"/>
            </a:ext>
          </a:extLst>
        </xdr:cNvPr>
        <xdr:cNvSpPr txBox="1"/>
      </xdr:nvSpPr>
      <xdr:spPr>
        <a:xfrm>
          <a:off x="7562850" y="1743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9</xdr:col>
      <xdr:colOff>581025</xdr:colOff>
      <xdr:row>5</xdr:row>
      <xdr:rowOff>0</xdr:rowOff>
    </xdr:from>
    <xdr:ext cx="184731" cy="264560"/>
    <xdr:sp macro="" textlink="">
      <xdr:nvSpPr>
        <xdr:cNvPr id="89" name="CuadroTexto 88">
          <a:extLst>
            <a:ext uri="{FF2B5EF4-FFF2-40B4-BE49-F238E27FC236}">
              <a16:creationId xmlns:a16="http://schemas.microsoft.com/office/drawing/2014/main" id="{225A9486-914A-4F6F-84FA-57559CF27F22}"/>
            </a:ext>
          </a:extLst>
        </xdr:cNvPr>
        <xdr:cNvSpPr txBox="1"/>
      </xdr:nvSpPr>
      <xdr:spPr>
        <a:xfrm>
          <a:off x="7562850" y="1743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9</xdr:col>
      <xdr:colOff>581025</xdr:colOff>
      <xdr:row>5</xdr:row>
      <xdr:rowOff>0</xdr:rowOff>
    </xdr:from>
    <xdr:ext cx="184731" cy="264560"/>
    <xdr:sp macro="" textlink="">
      <xdr:nvSpPr>
        <xdr:cNvPr id="90" name="CuadroTexto 89">
          <a:extLst>
            <a:ext uri="{FF2B5EF4-FFF2-40B4-BE49-F238E27FC236}">
              <a16:creationId xmlns:a16="http://schemas.microsoft.com/office/drawing/2014/main" id="{D45370B8-2A70-4E35-8AC2-F5542ED826A9}"/>
            </a:ext>
          </a:extLst>
        </xdr:cNvPr>
        <xdr:cNvSpPr txBox="1"/>
      </xdr:nvSpPr>
      <xdr:spPr>
        <a:xfrm>
          <a:off x="7562850" y="1743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10</xdr:col>
      <xdr:colOff>581025</xdr:colOff>
      <xdr:row>5</xdr:row>
      <xdr:rowOff>0</xdr:rowOff>
    </xdr:from>
    <xdr:ext cx="184731" cy="264560"/>
    <xdr:sp macro="" textlink="">
      <xdr:nvSpPr>
        <xdr:cNvPr id="91" name="CuadroTexto 90">
          <a:extLst>
            <a:ext uri="{FF2B5EF4-FFF2-40B4-BE49-F238E27FC236}">
              <a16:creationId xmlns:a16="http://schemas.microsoft.com/office/drawing/2014/main" id="{AF6DF393-2A32-44B0-8FF3-86FEAFE1213E}"/>
            </a:ext>
          </a:extLst>
        </xdr:cNvPr>
        <xdr:cNvSpPr txBox="1"/>
      </xdr:nvSpPr>
      <xdr:spPr>
        <a:xfrm>
          <a:off x="8324850" y="1743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10</xdr:col>
      <xdr:colOff>581025</xdr:colOff>
      <xdr:row>5</xdr:row>
      <xdr:rowOff>0</xdr:rowOff>
    </xdr:from>
    <xdr:ext cx="184731" cy="264560"/>
    <xdr:sp macro="" textlink="">
      <xdr:nvSpPr>
        <xdr:cNvPr id="92" name="CuadroTexto 91">
          <a:extLst>
            <a:ext uri="{FF2B5EF4-FFF2-40B4-BE49-F238E27FC236}">
              <a16:creationId xmlns:a16="http://schemas.microsoft.com/office/drawing/2014/main" id="{6027FB93-D6DE-447F-923C-8C70396CC40F}"/>
            </a:ext>
          </a:extLst>
        </xdr:cNvPr>
        <xdr:cNvSpPr txBox="1"/>
      </xdr:nvSpPr>
      <xdr:spPr>
        <a:xfrm>
          <a:off x="8324850" y="1743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10</xdr:col>
      <xdr:colOff>581025</xdr:colOff>
      <xdr:row>5</xdr:row>
      <xdr:rowOff>0</xdr:rowOff>
    </xdr:from>
    <xdr:ext cx="184731" cy="264560"/>
    <xdr:sp macro="" textlink="">
      <xdr:nvSpPr>
        <xdr:cNvPr id="93" name="CuadroTexto 92">
          <a:extLst>
            <a:ext uri="{FF2B5EF4-FFF2-40B4-BE49-F238E27FC236}">
              <a16:creationId xmlns:a16="http://schemas.microsoft.com/office/drawing/2014/main" id="{85C912A4-450A-4D40-9C9D-8836F030204A}"/>
            </a:ext>
          </a:extLst>
        </xdr:cNvPr>
        <xdr:cNvSpPr txBox="1"/>
      </xdr:nvSpPr>
      <xdr:spPr>
        <a:xfrm>
          <a:off x="8324850" y="1743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10</xdr:col>
      <xdr:colOff>581025</xdr:colOff>
      <xdr:row>5</xdr:row>
      <xdr:rowOff>0</xdr:rowOff>
    </xdr:from>
    <xdr:ext cx="184731" cy="264560"/>
    <xdr:sp macro="" textlink="">
      <xdr:nvSpPr>
        <xdr:cNvPr id="94" name="CuadroTexto 93">
          <a:extLst>
            <a:ext uri="{FF2B5EF4-FFF2-40B4-BE49-F238E27FC236}">
              <a16:creationId xmlns:a16="http://schemas.microsoft.com/office/drawing/2014/main" id="{3A23D672-4A10-4D40-A76D-31863485734A}"/>
            </a:ext>
          </a:extLst>
        </xdr:cNvPr>
        <xdr:cNvSpPr txBox="1"/>
      </xdr:nvSpPr>
      <xdr:spPr>
        <a:xfrm>
          <a:off x="8324850" y="1743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9</xdr:col>
      <xdr:colOff>581025</xdr:colOff>
      <xdr:row>5</xdr:row>
      <xdr:rowOff>0</xdr:rowOff>
    </xdr:from>
    <xdr:ext cx="184731" cy="264560"/>
    <xdr:sp macro="" textlink="">
      <xdr:nvSpPr>
        <xdr:cNvPr id="95" name="CuadroTexto 94">
          <a:extLst>
            <a:ext uri="{FF2B5EF4-FFF2-40B4-BE49-F238E27FC236}">
              <a16:creationId xmlns:a16="http://schemas.microsoft.com/office/drawing/2014/main" id="{70A4A3CD-274B-4DA6-8645-EB1B70A2E85C}"/>
            </a:ext>
          </a:extLst>
        </xdr:cNvPr>
        <xdr:cNvSpPr txBox="1"/>
      </xdr:nvSpPr>
      <xdr:spPr>
        <a:xfrm>
          <a:off x="7562850" y="1743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9</xdr:col>
      <xdr:colOff>581025</xdr:colOff>
      <xdr:row>5</xdr:row>
      <xdr:rowOff>0</xdr:rowOff>
    </xdr:from>
    <xdr:ext cx="184731" cy="264560"/>
    <xdr:sp macro="" textlink="">
      <xdr:nvSpPr>
        <xdr:cNvPr id="96" name="CuadroTexto 95">
          <a:extLst>
            <a:ext uri="{FF2B5EF4-FFF2-40B4-BE49-F238E27FC236}">
              <a16:creationId xmlns:a16="http://schemas.microsoft.com/office/drawing/2014/main" id="{3E6AF731-4D81-4F74-990F-E88E5E7331B5}"/>
            </a:ext>
          </a:extLst>
        </xdr:cNvPr>
        <xdr:cNvSpPr txBox="1"/>
      </xdr:nvSpPr>
      <xdr:spPr>
        <a:xfrm>
          <a:off x="7562850" y="1743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9</xdr:col>
      <xdr:colOff>581025</xdr:colOff>
      <xdr:row>5</xdr:row>
      <xdr:rowOff>0</xdr:rowOff>
    </xdr:from>
    <xdr:ext cx="184731" cy="264560"/>
    <xdr:sp macro="" textlink="">
      <xdr:nvSpPr>
        <xdr:cNvPr id="97" name="CuadroTexto 96">
          <a:extLst>
            <a:ext uri="{FF2B5EF4-FFF2-40B4-BE49-F238E27FC236}">
              <a16:creationId xmlns:a16="http://schemas.microsoft.com/office/drawing/2014/main" id="{8328132C-3DF1-4E94-95B1-13DB64105949}"/>
            </a:ext>
          </a:extLst>
        </xdr:cNvPr>
        <xdr:cNvSpPr txBox="1"/>
      </xdr:nvSpPr>
      <xdr:spPr>
        <a:xfrm>
          <a:off x="7562850" y="1743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7</xdr:col>
      <xdr:colOff>581025</xdr:colOff>
      <xdr:row>5</xdr:row>
      <xdr:rowOff>0</xdr:rowOff>
    </xdr:from>
    <xdr:ext cx="184731" cy="264560"/>
    <xdr:sp macro="" textlink="">
      <xdr:nvSpPr>
        <xdr:cNvPr id="98" name="CuadroTexto 97">
          <a:extLst>
            <a:ext uri="{FF2B5EF4-FFF2-40B4-BE49-F238E27FC236}">
              <a16:creationId xmlns:a16="http://schemas.microsoft.com/office/drawing/2014/main" id="{D311811A-1CA6-4874-98C0-0743CF63FE9C}"/>
            </a:ext>
          </a:extLst>
        </xdr:cNvPr>
        <xdr:cNvSpPr txBox="1"/>
      </xdr:nvSpPr>
      <xdr:spPr>
        <a:xfrm>
          <a:off x="5915025" y="1743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7</xdr:col>
      <xdr:colOff>581025</xdr:colOff>
      <xdr:row>5</xdr:row>
      <xdr:rowOff>0</xdr:rowOff>
    </xdr:from>
    <xdr:ext cx="184731" cy="264560"/>
    <xdr:sp macro="" textlink="">
      <xdr:nvSpPr>
        <xdr:cNvPr id="99" name="CuadroTexto 98">
          <a:extLst>
            <a:ext uri="{FF2B5EF4-FFF2-40B4-BE49-F238E27FC236}">
              <a16:creationId xmlns:a16="http://schemas.microsoft.com/office/drawing/2014/main" id="{93C20870-847B-4105-9767-2003F2ADFC23}"/>
            </a:ext>
          </a:extLst>
        </xdr:cNvPr>
        <xdr:cNvSpPr txBox="1"/>
      </xdr:nvSpPr>
      <xdr:spPr>
        <a:xfrm>
          <a:off x="5915025" y="1743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7</xdr:col>
      <xdr:colOff>581025</xdr:colOff>
      <xdr:row>5</xdr:row>
      <xdr:rowOff>0</xdr:rowOff>
    </xdr:from>
    <xdr:ext cx="184731" cy="264560"/>
    <xdr:sp macro="" textlink="">
      <xdr:nvSpPr>
        <xdr:cNvPr id="100" name="CuadroTexto 99">
          <a:extLst>
            <a:ext uri="{FF2B5EF4-FFF2-40B4-BE49-F238E27FC236}">
              <a16:creationId xmlns:a16="http://schemas.microsoft.com/office/drawing/2014/main" id="{28B77790-3381-4175-929F-387BE47DC209}"/>
            </a:ext>
          </a:extLst>
        </xdr:cNvPr>
        <xdr:cNvSpPr txBox="1"/>
      </xdr:nvSpPr>
      <xdr:spPr>
        <a:xfrm>
          <a:off x="5915025" y="1743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7</xdr:col>
      <xdr:colOff>581025</xdr:colOff>
      <xdr:row>5</xdr:row>
      <xdr:rowOff>0</xdr:rowOff>
    </xdr:from>
    <xdr:ext cx="184731" cy="264560"/>
    <xdr:sp macro="" textlink="">
      <xdr:nvSpPr>
        <xdr:cNvPr id="101" name="CuadroTexto 100">
          <a:extLst>
            <a:ext uri="{FF2B5EF4-FFF2-40B4-BE49-F238E27FC236}">
              <a16:creationId xmlns:a16="http://schemas.microsoft.com/office/drawing/2014/main" id="{FC6BE295-3DE4-4AD5-B693-55D43FA535BC}"/>
            </a:ext>
          </a:extLst>
        </xdr:cNvPr>
        <xdr:cNvSpPr txBox="1"/>
      </xdr:nvSpPr>
      <xdr:spPr>
        <a:xfrm>
          <a:off x="5915025" y="1743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9</xdr:col>
      <xdr:colOff>581025</xdr:colOff>
      <xdr:row>5</xdr:row>
      <xdr:rowOff>0</xdr:rowOff>
    </xdr:from>
    <xdr:ext cx="184731" cy="264560"/>
    <xdr:sp macro="" textlink="">
      <xdr:nvSpPr>
        <xdr:cNvPr id="102" name="CuadroTexto 101">
          <a:extLst>
            <a:ext uri="{FF2B5EF4-FFF2-40B4-BE49-F238E27FC236}">
              <a16:creationId xmlns:a16="http://schemas.microsoft.com/office/drawing/2014/main" id="{7F5DEB23-818A-4000-8949-57BD561E2C21}"/>
            </a:ext>
          </a:extLst>
        </xdr:cNvPr>
        <xdr:cNvSpPr txBox="1"/>
      </xdr:nvSpPr>
      <xdr:spPr>
        <a:xfrm>
          <a:off x="7562850" y="1743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9</xdr:col>
      <xdr:colOff>581025</xdr:colOff>
      <xdr:row>5</xdr:row>
      <xdr:rowOff>0</xdr:rowOff>
    </xdr:from>
    <xdr:ext cx="184731" cy="264560"/>
    <xdr:sp macro="" textlink="">
      <xdr:nvSpPr>
        <xdr:cNvPr id="103" name="CuadroTexto 102">
          <a:extLst>
            <a:ext uri="{FF2B5EF4-FFF2-40B4-BE49-F238E27FC236}">
              <a16:creationId xmlns:a16="http://schemas.microsoft.com/office/drawing/2014/main" id="{643691BA-F124-4CD0-8989-6277E9EEF27B}"/>
            </a:ext>
          </a:extLst>
        </xdr:cNvPr>
        <xdr:cNvSpPr txBox="1"/>
      </xdr:nvSpPr>
      <xdr:spPr>
        <a:xfrm>
          <a:off x="7562850" y="1743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9</xdr:col>
      <xdr:colOff>581025</xdr:colOff>
      <xdr:row>5</xdr:row>
      <xdr:rowOff>0</xdr:rowOff>
    </xdr:from>
    <xdr:ext cx="184731" cy="264560"/>
    <xdr:sp macro="" textlink="">
      <xdr:nvSpPr>
        <xdr:cNvPr id="104" name="CuadroTexto 103">
          <a:extLst>
            <a:ext uri="{FF2B5EF4-FFF2-40B4-BE49-F238E27FC236}">
              <a16:creationId xmlns:a16="http://schemas.microsoft.com/office/drawing/2014/main" id="{5ACD1CCA-8447-4859-B73E-E204EC18DCCB}"/>
            </a:ext>
          </a:extLst>
        </xdr:cNvPr>
        <xdr:cNvSpPr txBox="1"/>
      </xdr:nvSpPr>
      <xdr:spPr>
        <a:xfrm>
          <a:off x="7562850" y="1743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10</xdr:col>
      <xdr:colOff>581025</xdr:colOff>
      <xdr:row>5</xdr:row>
      <xdr:rowOff>0</xdr:rowOff>
    </xdr:from>
    <xdr:ext cx="184731" cy="264560"/>
    <xdr:sp macro="" textlink="">
      <xdr:nvSpPr>
        <xdr:cNvPr id="106" name="CuadroTexto 105">
          <a:extLst>
            <a:ext uri="{FF2B5EF4-FFF2-40B4-BE49-F238E27FC236}">
              <a16:creationId xmlns:a16="http://schemas.microsoft.com/office/drawing/2014/main" id="{8A1EFEE6-2C4B-4C7D-9538-58B89B32B53C}"/>
            </a:ext>
          </a:extLst>
        </xdr:cNvPr>
        <xdr:cNvSpPr txBox="1"/>
      </xdr:nvSpPr>
      <xdr:spPr>
        <a:xfrm>
          <a:off x="8324850" y="1743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9</xdr:col>
      <xdr:colOff>581025</xdr:colOff>
      <xdr:row>18</xdr:row>
      <xdr:rowOff>0</xdr:rowOff>
    </xdr:from>
    <xdr:ext cx="184731" cy="264560"/>
    <xdr:sp macro="" textlink="">
      <xdr:nvSpPr>
        <xdr:cNvPr id="110" name="CuadroTexto 109">
          <a:extLst>
            <a:ext uri="{FF2B5EF4-FFF2-40B4-BE49-F238E27FC236}">
              <a16:creationId xmlns:a16="http://schemas.microsoft.com/office/drawing/2014/main" id="{D7A194A1-E6D6-4640-AAB2-738E714C9D4B}"/>
            </a:ext>
          </a:extLst>
        </xdr:cNvPr>
        <xdr:cNvSpPr txBox="1"/>
      </xdr:nvSpPr>
      <xdr:spPr>
        <a:xfrm>
          <a:off x="7562850" y="1743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9</xdr:col>
      <xdr:colOff>581025</xdr:colOff>
      <xdr:row>18</xdr:row>
      <xdr:rowOff>0</xdr:rowOff>
    </xdr:from>
    <xdr:ext cx="184731" cy="264560"/>
    <xdr:sp macro="" textlink="">
      <xdr:nvSpPr>
        <xdr:cNvPr id="111" name="CuadroTexto 110">
          <a:extLst>
            <a:ext uri="{FF2B5EF4-FFF2-40B4-BE49-F238E27FC236}">
              <a16:creationId xmlns:a16="http://schemas.microsoft.com/office/drawing/2014/main" id="{8F29F09E-C506-4DFF-8768-3F69EA03C06F}"/>
            </a:ext>
          </a:extLst>
        </xdr:cNvPr>
        <xdr:cNvSpPr txBox="1"/>
      </xdr:nvSpPr>
      <xdr:spPr>
        <a:xfrm>
          <a:off x="7562850" y="1743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9</xdr:col>
      <xdr:colOff>581025</xdr:colOff>
      <xdr:row>18</xdr:row>
      <xdr:rowOff>0</xdr:rowOff>
    </xdr:from>
    <xdr:ext cx="184731" cy="264560"/>
    <xdr:sp macro="" textlink="">
      <xdr:nvSpPr>
        <xdr:cNvPr id="112" name="CuadroTexto 111">
          <a:extLst>
            <a:ext uri="{FF2B5EF4-FFF2-40B4-BE49-F238E27FC236}">
              <a16:creationId xmlns:a16="http://schemas.microsoft.com/office/drawing/2014/main" id="{7A05DABB-937E-4FDC-BFC2-25B3FD9693A9}"/>
            </a:ext>
          </a:extLst>
        </xdr:cNvPr>
        <xdr:cNvSpPr txBox="1"/>
      </xdr:nvSpPr>
      <xdr:spPr>
        <a:xfrm>
          <a:off x="7562850" y="1743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7</xdr:col>
      <xdr:colOff>581025</xdr:colOff>
      <xdr:row>18</xdr:row>
      <xdr:rowOff>0</xdr:rowOff>
    </xdr:from>
    <xdr:ext cx="184731" cy="264560"/>
    <xdr:sp macro="" textlink="">
      <xdr:nvSpPr>
        <xdr:cNvPr id="113" name="CuadroTexto 112">
          <a:extLst>
            <a:ext uri="{FF2B5EF4-FFF2-40B4-BE49-F238E27FC236}">
              <a16:creationId xmlns:a16="http://schemas.microsoft.com/office/drawing/2014/main" id="{4CB8DFD8-3A82-459A-9D98-2A5EBC053489}"/>
            </a:ext>
          </a:extLst>
        </xdr:cNvPr>
        <xdr:cNvSpPr txBox="1"/>
      </xdr:nvSpPr>
      <xdr:spPr>
        <a:xfrm>
          <a:off x="5915025" y="1743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7</xdr:col>
      <xdr:colOff>581025</xdr:colOff>
      <xdr:row>18</xdr:row>
      <xdr:rowOff>0</xdr:rowOff>
    </xdr:from>
    <xdr:ext cx="184731" cy="264560"/>
    <xdr:sp macro="" textlink="">
      <xdr:nvSpPr>
        <xdr:cNvPr id="114" name="CuadroTexto 113">
          <a:extLst>
            <a:ext uri="{FF2B5EF4-FFF2-40B4-BE49-F238E27FC236}">
              <a16:creationId xmlns:a16="http://schemas.microsoft.com/office/drawing/2014/main" id="{E3058926-209A-49D0-9E84-D8CE2AA888CE}"/>
            </a:ext>
          </a:extLst>
        </xdr:cNvPr>
        <xdr:cNvSpPr txBox="1"/>
      </xdr:nvSpPr>
      <xdr:spPr>
        <a:xfrm>
          <a:off x="5915025" y="1743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7</xdr:col>
      <xdr:colOff>581025</xdr:colOff>
      <xdr:row>18</xdr:row>
      <xdr:rowOff>0</xdr:rowOff>
    </xdr:from>
    <xdr:ext cx="184731" cy="264560"/>
    <xdr:sp macro="" textlink="">
      <xdr:nvSpPr>
        <xdr:cNvPr id="115" name="CuadroTexto 114">
          <a:extLst>
            <a:ext uri="{FF2B5EF4-FFF2-40B4-BE49-F238E27FC236}">
              <a16:creationId xmlns:a16="http://schemas.microsoft.com/office/drawing/2014/main" id="{C6BE13D3-98B7-4F97-9359-18E2EB058CC5}"/>
            </a:ext>
          </a:extLst>
        </xdr:cNvPr>
        <xdr:cNvSpPr txBox="1"/>
      </xdr:nvSpPr>
      <xdr:spPr>
        <a:xfrm>
          <a:off x="5915025" y="1743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7</xdr:col>
      <xdr:colOff>581025</xdr:colOff>
      <xdr:row>18</xdr:row>
      <xdr:rowOff>0</xdr:rowOff>
    </xdr:from>
    <xdr:ext cx="184731" cy="264560"/>
    <xdr:sp macro="" textlink="">
      <xdr:nvSpPr>
        <xdr:cNvPr id="116" name="CuadroTexto 115">
          <a:extLst>
            <a:ext uri="{FF2B5EF4-FFF2-40B4-BE49-F238E27FC236}">
              <a16:creationId xmlns:a16="http://schemas.microsoft.com/office/drawing/2014/main" id="{3F9F52B1-8C47-4087-A791-C633D45828CE}"/>
            </a:ext>
          </a:extLst>
        </xdr:cNvPr>
        <xdr:cNvSpPr txBox="1"/>
      </xdr:nvSpPr>
      <xdr:spPr>
        <a:xfrm>
          <a:off x="5915025" y="1743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9</xdr:col>
      <xdr:colOff>581025</xdr:colOff>
      <xdr:row>18</xdr:row>
      <xdr:rowOff>0</xdr:rowOff>
    </xdr:from>
    <xdr:ext cx="184731" cy="264560"/>
    <xdr:sp macro="" textlink="">
      <xdr:nvSpPr>
        <xdr:cNvPr id="117" name="CuadroTexto 116">
          <a:extLst>
            <a:ext uri="{FF2B5EF4-FFF2-40B4-BE49-F238E27FC236}">
              <a16:creationId xmlns:a16="http://schemas.microsoft.com/office/drawing/2014/main" id="{8672B6F5-4B58-4DC0-8695-8A88BEFA9F1E}"/>
            </a:ext>
          </a:extLst>
        </xdr:cNvPr>
        <xdr:cNvSpPr txBox="1"/>
      </xdr:nvSpPr>
      <xdr:spPr>
        <a:xfrm>
          <a:off x="7562850" y="1743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9</xdr:col>
      <xdr:colOff>581025</xdr:colOff>
      <xdr:row>18</xdr:row>
      <xdr:rowOff>0</xdr:rowOff>
    </xdr:from>
    <xdr:ext cx="184731" cy="264560"/>
    <xdr:sp macro="" textlink="">
      <xdr:nvSpPr>
        <xdr:cNvPr id="118" name="CuadroTexto 117">
          <a:extLst>
            <a:ext uri="{FF2B5EF4-FFF2-40B4-BE49-F238E27FC236}">
              <a16:creationId xmlns:a16="http://schemas.microsoft.com/office/drawing/2014/main" id="{A8CEF092-C724-43C2-A5D0-466AF80A8A83}"/>
            </a:ext>
          </a:extLst>
        </xdr:cNvPr>
        <xdr:cNvSpPr txBox="1"/>
      </xdr:nvSpPr>
      <xdr:spPr>
        <a:xfrm>
          <a:off x="7562850" y="1743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9</xdr:col>
      <xdr:colOff>581025</xdr:colOff>
      <xdr:row>18</xdr:row>
      <xdr:rowOff>0</xdr:rowOff>
    </xdr:from>
    <xdr:ext cx="184731" cy="264560"/>
    <xdr:sp macro="" textlink="">
      <xdr:nvSpPr>
        <xdr:cNvPr id="119" name="CuadroTexto 118">
          <a:extLst>
            <a:ext uri="{FF2B5EF4-FFF2-40B4-BE49-F238E27FC236}">
              <a16:creationId xmlns:a16="http://schemas.microsoft.com/office/drawing/2014/main" id="{CFCF2E64-87AA-415F-9E66-C35FF1E9D3F8}"/>
            </a:ext>
          </a:extLst>
        </xdr:cNvPr>
        <xdr:cNvSpPr txBox="1"/>
      </xdr:nvSpPr>
      <xdr:spPr>
        <a:xfrm>
          <a:off x="7562850" y="1743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9</xdr:col>
      <xdr:colOff>581025</xdr:colOff>
      <xdr:row>18</xdr:row>
      <xdr:rowOff>0</xdr:rowOff>
    </xdr:from>
    <xdr:ext cx="184731" cy="264560"/>
    <xdr:sp macro="" textlink="">
      <xdr:nvSpPr>
        <xdr:cNvPr id="120" name="CuadroTexto 119">
          <a:extLst>
            <a:ext uri="{FF2B5EF4-FFF2-40B4-BE49-F238E27FC236}">
              <a16:creationId xmlns:a16="http://schemas.microsoft.com/office/drawing/2014/main" id="{B531D00E-E5EA-41D8-B932-153A674FAF2D}"/>
            </a:ext>
          </a:extLst>
        </xdr:cNvPr>
        <xdr:cNvSpPr txBox="1"/>
      </xdr:nvSpPr>
      <xdr:spPr>
        <a:xfrm>
          <a:off x="7562850" y="1743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10</xdr:col>
      <xdr:colOff>581025</xdr:colOff>
      <xdr:row>18</xdr:row>
      <xdr:rowOff>0</xdr:rowOff>
    </xdr:from>
    <xdr:ext cx="184731" cy="264560"/>
    <xdr:sp macro="" textlink="">
      <xdr:nvSpPr>
        <xdr:cNvPr id="121" name="CuadroTexto 120">
          <a:extLst>
            <a:ext uri="{FF2B5EF4-FFF2-40B4-BE49-F238E27FC236}">
              <a16:creationId xmlns:a16="http://schemas.microsoft.com/office/drawing/2014/main" id="{CF49589A-6064-4ACD-9E36-7737181FCE63}"/>
            </a:ext>
          </a:extLst>
        </xdr:cNvPr>
        <xdr:cNvSpPr txBox="1"/>
      </xdr:nvSpPr>
      <xdr:spPr>
        <a:xfrm>
          <a:off x="8324850" y="1743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10</xdr:col>
      <xdr:colOff>581025</xdr:colOff>
      <xdr:row>18</xdr:row>
      <xdr:rowOff>0</xdr:rowOff>
    </xdr:from>
    <xdr:ext cx="184731" cy="264560"/>
    <xdr:sp macro="" textlink="">
      <xdr:nvSpPr>
        <xdr:cNvPr id="122" name="CuadroTexto 121">
          <a:extLst>
            <a:ext uri="{FF2B5EF4-FFF2-40B4-BE49-F238E27FC236}">
              <a16:creationId xmlns:a16="http://schemas.microsoft.com/office/drawing/2014/main" id="{D4882865-34DB-432C-AB69-A9B84464F0CB}"/>
            </a:ext>
          </a:extLst>
        </xdr:cNvPr>
        <xdr:cNvSpPr txBox="1"/>
      </xdr:nvSpPr>
      <xdr:spPr>
        <a:xfrm>
          <a:off x="8324850" y="1743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10</xdr:col>
      <xdr:colOff>581025</xdr:colOff>
      <xdr:row>18</xdr:row>
      <xdr:rowOff>0</xdr:rowOff>
    </xdr:from>
    <xdr:ext cx="184731" cy="264560"/>
    <xdr:sp macro="" textlink="">
      <xdr:nvSpPr>
        <xdr:cNvPr id="123" name="CuadroTexto 122">
          <a:extLst>
            <a:ext uri="{FF2B5EF4-FFF2-40B4-BE49-F238E27FC236}">
              <a16:creationId xmlns:a16="http://schemas.microsoft.com/office/drawing/2014/main" id="{058D8726-7327-4F17-ACA3-1B977782305A}"/>
            </a:ext>
          </a:extLst>
        </xdr:cNvPr>
        <xdr:cNvSpPr txBox="1"/>
      </xdr:nvSpPr>
      <xdr:spPr>
        <a:xfrm>
          <a:off x="8324850" y="1743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10</xdr:col>
      <xdr:colOff>581025</xdr:colOff>
      <xdr:row>18</xdr:row>
      <xdr:rowOff>0</xdr:rowOff>
    </xdr:from>
    <xdr:ext cx="184731" cy="264560"/>
    <xdr:sp macro="" textlink="">
      <xdr:nvSpPr>
        <xdr:cNvPr id="124" name="CuadroTexto 123">
          <a:extLst>
            <a:ext uri="{FF2B5EF4-FFF2-40B4-BE49-F238E27FC236}">
              <a16:creationId xmlns:a16="http://schemas.microsoft.com/office/drawing/2014/main" id="{18D17C1E-AFF1-4B2D-ABA9-8F1E878A7650}"/>
            </a:ext>
          </a:extLst>
        </xdr:cNvPr>
        <xdr:cNvSpPr txBox="1"/>
      </xdr:nvSpPr>
      <xdr:spPr>
        <a:xfrm>
          <a:off x="8324850" y="1743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9</xdr:col>
      <xdr:colOff>581025</xdr:colOff>
      <xdr:row>18</xdr:row>
      <xdr:rowOff>0</xdr:rowOff>
    </xdr:from>
    <xdr:ext cx="184731" cy="264560"/>
    <xdr:sp macro="" textlink="">
      <xdr:nvSpPr>
        <xdr:cNvPr id="125" name="CuadroTexto 124">
          <a:extLst>
            <a:ext uri="{FF2B5EF4-FFF2-40B4-BE49-F238E27FC236}">
              <a16:creationId xmlns:a16="http://schemas.microsoft.com/office/drawing/2014/main" id="{F8D78530-E25F-4A92-88E4-7A12DDD76A67}"/>
            </a:ext>
          </a:extLst>
        </xdr:cNvPr>
        <xdr:cNvSpPr txBox="1"/>
      </xdr:nvSpPr>
      <xdr:spPr>
        <a:xfrm>
          <a:off x="7562850" y="1743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9</xdr:col>
      <xdr:colOff>581025</xdr:colOff>
      <xdr:row>18</xdr:row>
      <xdr:rowOff>0</xdr:rowOff>
    </xdr:from>
    <xdr:ext cx="184731" cy="264560"/>
    <xdr:sp macro="" textlink="">
      <xdr:nvSpPr>
        <xdr:cNvPr id="126" name="CuadroTexto 125">
          <a:extLst>
            <a:ext uri="{FF2B5EF4-FFF2-40B4-BE49-F238E27FC236}">
              <a16:creationId xmlns:a16="http://schemas.microsoft.com/office/drawing/2014/main" id="{F3DBC52F-E9A0-431A-9BFC-B9A832A759CD}"/>
            </a:ext>
          </a:extLst>
        </xdr:cNvPr>
        <xdr:cNvSpPr txBox="1"/>
      </xdr:nvSpPr>
      <xdr:spPr>
        <a:xfrm>
          <a:off x="7562850" y="1743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9</xdr:col>
      <xdr:colOff>581025</xdr:colOff>
      <xdr:row>18</xdr:row>
      <xdr:rowOff>0</xdr:rowOff>
    </xdr:from>
    <xdr:ext cx="184731" cy="264560"/>
    <xdr:sp macro="" textlink="">
      <xdr:nvSpPr>
        <xdr:cNvPr id="127" name="CuadroTexto 126">
          <a:extLst>
            <a:ext uri="{FF2B5EF4-FFF2-40B4-BE49-F238E27FC236}">
              <a16:creationId xmlns:a16="http://schemas.microsoft.com/office/drawing/2014/main" id="{1482317A-7BE8-4E6F-9870-531E190CDB79}"/>
            </a:ext>
          </a:extLst>
        </xdr:cNvPr>
        <xdr:cNvSpPr txBox="1"/>
      </xdr:nvSpPr>
      <xdr:spPr>
        <a:xfrm>
          <a:off x="7562850" y="1743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7</xdr:col>
      <xdr:colOff>581025</xdr:colOff>
      <xdr:row>18</xdr:row>
      <xdr:rowOff>0</xdr:rowOff>
    </xdr:from>
    <xdr:ext cx="184731" cy="264560"/>
    <xdr:sp macro="" textlink="">
      <xdr:nvSpPr>
        <xdr:cNvPr id="128" name="CuadroTexto 127">
          <a:extLst>
            <a:ext uri="{FF2B5EF4-FFF2-40B4-BE49-F238E27FC236}">
              <a16:creationId xmlns:a16="http://schemas.microsoft.com/office/drawing/2014/main" id="{1C4F41C1-FA8D-4602-BDA3-EF1127E207F5}"/>
            </a:ext>
          </a:extLst>
        </xdr:cNvPr>
        <xdr:cNvSpPr txBox="1"/>
      </xdr:nvSpPr>
      <xdr:spPr>
        <a:xfrm>
          <a:off x="5915025" y="1743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7</xdr:col>
      <xdr:colOff>581025</xdr:colOff>
      <xdr:row>18</xdr:row>
      <xdr:rowOff>0</xdr:rowOff>
    </xdr:from>
    <xdr:ext cx="184731" cy="264560"/>
    <xdr:sp macro="" textlink="">
      <xdr:nvSpPr>
        <xdr:cNvPr id="129" name="CuadroTexto 128">
          <a:extLst>
            <a:ext uri="{FF2B5EF4-FFF2-40B4-BE49-F238E27FC236}">
              <a16:creationId xmlns:a16="http://schemas.microsoft.com/office/drawing/2014/main" id="{2E5BCA3D-1AAC-49F3-95A6-D6C636126FB9}"/>
            </a:ext>
          </a:extLst>
        </xdr:cNvPr>
        <xdr:cNvSpPr txBox="1"/>
      </xdr:nvSpPr>
      <xdr:spPr>
        <a:xfrm>
          <a:off x="5915025" y="1743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7</xdr:col>
      <xdr:colOff>581025</xdr:colOff>
      <xdr:row>18</xdr:row>
      <xdr:rowOff>0</xdr:rowOff>
    </xdr:from>
    <xdr:ext cx="184731" cy="264560"/>
    <xdr:sp macro="" textlink="">
      <xdr:nvSpPr>
        <xdr:cNvPr id="130" name="CuadroTexto 129">
          <a:extLst>
            <a:ext uri="{FF2B5EF4-FFF2-40B4-BE49-F238E27FC236}">
              <a16:creationId xmlns:a16="http://schemas.microsoft.com/office/drawing/2014/main" id="{AF5A1521-EA7E-41BD-B886-E73ADFA1CADA}"/>
            </a:ext>
          </a:extLst>
        </xdr:cNvPr>
        <xdr:cNvSpPr txBox="1"/>
      </xdr:nvSpPr>
      <xdr:spPr>
        <a:xfrm>
          <a:off x="5915025" y="1743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7</xdr:col>
      <xdr:colOff>581025</xdr:colOff>
      <xdr:row>18</xdr:row>
      <xdr:rowOff>0</xdr:rowOff>
    </xdr:from>
    <xdr:ext cx="184731" cy="264560"/>
    <xdr:sp macro="" textlink="">
      <xdr:nvSpPr>
        <xdr:cNvPr id="131" name="CuadroTexto 130">
          <a:extLst>
            <a:ext uri="{FF2B5EF4-FFF2-40B4-BE49-F238E27FC236}">
              <a16:creationId xmlns:a16="http://schemas.microsoft.com/office/drawing/2014/main" id="{F2AEFD1A-03FC-40A8-B6AB-68C4EFE5D3F3}"/>
            </a:ext>
          </a:extLst>
        </xdr:cNvPr>
        <xdr:cNvSpPr txBox="1"/>
      </xdr:nvSpPr>
      <xdr:spPr>
        <a:xfrm>
          <a:off x="5915025" y="1743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9</xdr:col>
      <xdr:colOff>581025</xdr:colOff>
      <xdr:row>18</xdr:row>
      <xdr:rowOff>0</xdr:rowOff>
    </xdr:from>
    <xdr:ext cx="184731" cy="264560"/>
    <xdr:sp macro="" textlink="">
      <xdr:nvSpPr>
        <xdr:cNvPr id="132" name="CuadroTexto 131">
          <a:extLst>
            <a:ext uri="{FF2B5EF4-FFF2-40B4-BE49-F238E27FC236}">
              <a16:creationId xmlns:a16="http://schemas.microsoft.com/office/drawing/2014/main" id="{C2D6F472-04E3-4E06-8A3F-0FD86A342883}"/>
            </a:ext>
          </a:extLst>
        </xdr:cNvPr>
        <xdr:cNvSpPr txBox="1"/>
      </xdr:nvSpPr>
      <xdr:spPr>
        <a:xfrm>
          <a:off x="7562850" y="1743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9</xdr:col>
      <xdr:colOff>581025</xdr:colOff>
      <xdr:row>18</xdr:row>
      <xdr:rowOff>0</xdr:rowOff>
    </xdr:from>
    <xdr:ext cx="184731" cy="264560"/>
    <xdr:sp macro="" textlink="">
      <xdr:nvSpPr>
        <xdr:cNvPr id="133" name="CuadroTexto 132">
          <a:extLst>
            <a:ext uri="{FF2B5EF4-FFF2-40B4-BE49-F238E27FC236}">
              <a16:creationId xmlns:a16="http://schemas.microsoft.com/office/drawing/2014/main" id="{0571DF42-3D29-4F37-845E-F9B2D6C10B88}"/>
            </a:ext>
          </a:extLst>
        </xdr:cNvPr>
        <xdr:cNvSpPr txBox="1"/>
      </xdr:nvSpPr>
      <xdr:spPr>
        <a:xfrm>
          <a:off x="7562850" y="1743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9</xdr:col>
      <xdr:colOff>581025</xdr:colOff>
      <xdr:row>18</xdr:row>
      <xdr:rowOff>0</xdr:rowOff>
    </xdr:from>
    <xdr:ext cx="184731" cy="264560"/>
    <xdr:sp macro="" textlink="">
      <xdr:nvSpPr>
        <xdr:cNvPr id="134" name="CuadroTexto 133">
          <a:extLst>
            <a:ext uri="{FF2B5EF4-FFF2-40B4-BE49-F238E27FC236}">
              <a16:creationId xmlns:a16="http://schemas.microsoft.com/office/drawing/2014/main" id="{173FB98B-27B6-4BE6-BDA3-69D959DBC7ED}"/>
            </a:ext>
          </a:extLst>
        </xdr:cNvPr>
        <xdr:cNvSpPr txBox="1"/>
      </xdr:nvSpPr>
      <xdr:spPr>
        <a:xfrm>
          <a:off x="7562850" y="1743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9</xdr:col>
      <xdr:colOff>581025</xdr:colOff>
      <xdr:row>18</xdr:row>
      <xdr:rowOff>0</xdr:rowOff>
    </xdr:from>
    <xdr:ext cx="184731" cy="264560"/>
    <xdr:sp macro="" textlink="">
      <xdr:nvSpPr>
        <xdr:cNvPr id="135" name="CuadroTexto 134">
          <a:extLst>
            <a:ext uri="{FF2B5EF4-FFF2-40B4-BE49-F238E27FC236}">
              <a16:creationId xmlns:a16="http://schemas.microsoft.com/office/drawing/2014/main" id="{02382CAC-356D-4139-88C2-6B6CDCC3F964}"/>
            </a:ext>
          </a:extLst>
        </xdr:cNvPr>
        <xdr:cNvSpPr txBox="1"/>
      </xdr:nvSpPr>
      <xdr:spPr>
        <a:xfrm>
          <a:off x="7562850" y="1743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10</xdr:col>
      <xdr:colOff>581025</xdr:colOff>
      <xdr:row>18</xdr:row>
      <xdr:rowOff>0</xdr:rowOff>
    </xdr:from>
    <xdr:ext cx="184731" cy="264560"/>
    <xdr:sp macro="" textlink="">
      <xdr:nvSpPr>
        <xdr:cNvPr id="136" name="CuadroTexto 135">
          <a:extLst>
            <a:ext uri="{FF2B5EF4-FFF2-40B4-BE49-F238E27FC236}">
              <a16:creationId xmlns:a16="http://schemas.microsoft.com/office/drawing/2014/main" id="{6C187A0F-9D7B-4594-940D-F41FE5913FB8}"/>
            </a:ext>
          </a:extLst>
        </xdr:cNvPr>
        <xdr:cNvSpPr txBox="1"/>
      </xdr:nvSpPr>
      <xdr:spPr>
        <a:xfrm>
          <a:off x="8324850" y="1743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10</xdr:col>
      <xdr:colOff>581025</xdr:colOff>
      <xdr:row>18</xdr:row>
      <xdr:rowOff>0</xdr:rowOff>
    </xdr:from>
    <xdr:ext cx="184731" cy="264560"/>
    <xdr:sp macro="" textlink="">
      <xdr:nvSpPr>
        <xdr:cNvPr id="137" name="CuadroTexto 136">
          <a:extLst>
            <a:ext uri="{FF2B5EF4-FFF2-40B4-BE49-F238E27FC236}">
              <a16:creationId xmlns:a16="http://schemas.microsoft.com/office/drawing/2014/main" id="{7E8C752D-70E0-4707-B283-320A795EDDB7}"/>
            </a:ext>
          </a:extLst>
        </xdr:cNvPr>
        <xdr:cNvSpPr txBox="1"/>
      </xdr:nvSpPr>
      <xdr:spPr>
        <a:xfrm>
          <a:off x="8324850" y="1743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9</xdr:col>
      <xdr:colOff>581025</xdr:colOff>
      <xdr:row>33</xdr:row>
      <xdr:rowOff>0</xdr:rowOff>
    </xdr:from>
    <xdr:ext cx="184731" cy="264560"/>
    <xdr:sp macro="" textlink="">
      <xdr:nvSpPr>
        <xdr:cNvPr id="140" name="CuadroTexto 139">
          <a:extLst>
            <a:ext uri="{FF2B5EF4-FFF2-40B4-BE49-F238E27FC236}">
              <a16:creationId xmlns:a16="http://schemas.microsoft.com/office/drawing/2014/main" id="{8918ABF4-812C-423D-B8C2-A034C567A026}"/>
            </a:ext>
          </a:extLst>
        </xdr:cNvPr>
        <xdr:cNvSpPr txBox="1"/>
      </xdr:nvSpPr>
      <xdr:spPr>
        <a:xfrm>
          <a:off x="7562850" y="1743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9</xdr:col>
      <xdr:colOff>581025</xdr:colOff>
      <xdr:row>33</xdr:row>
      <xdr:rowOff>0</xdr:rowOff>
    </xdr:from>
    <xdr:ext cx="184731" cy="264560"/>
    <xdr:sp macro="" textlink="">
      <xdr:nvSpPr>
        <xdr:cNvPr id="141" name="CuadroTexto 140">
          <a:extLst>
            <a:ext uri="{FF2B5EF4-FFF2-40B4-BE49-F238E27FC236}">
              <a16:creationId xmlns:a16="http://schemas.microsoft.com/office/drawing/2014/main" id="{C20D457C-9B31-4209-81D7-31853920D7D8}"/>
            </a:ext>
          </a:extLst>
        </xdr:cNvPr>
        <xdr:cNvSpPr txBox="1"/>
      </xdr:nvSpPr>
      <xdr:spPr>
        <a:xfrm>
          <a:off x="7562850" y="1743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9</xdr:col>
      <xdr:colOff>581025</xdr:colOff>
      <xdr:row>33</xdr:row>
      <xdr:rowOff>0</xdr:rowOff>
    </xdr:from>
    <xdr:ext cx="184731" cy="264560"/>
    <xdr:sp macro="" textlink="">
      <xdr:nvSpPr>
        <xdr:cNvPr id="142" name="CuadroTexto 141">
          <a:extLst>
            <a:ext uri="{FF2B5EF4-FFF2-40B4-BE49-F238E27FC236}">
              <a16:creationId xmlns:a16="http://schemas.microsoft.com/office/drawing/2014/main" id="{4B1C4D27-63D4-40EF-964C-5E11DFED87BA}"/>
            </a:ext>
          </a:extLst>
        </xdr:cNvPr>
        <xdr:cNvSpPr txBox="1"/>
      </xdr:nvSpPr>
      <xdr:spPr>
        <a:xfrm>
          <a:off x="7562850" y="1743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7</xdr:col>
      <xdr:colOff>581025</xdr:colOff>
      <xdr:row>33</xdr:row>
      <xdr:rowOff>0</xdr:rowOff>
    </xdr:from>
    <xdr:ext cx="184731" cy="264560"/>
    <xdr:sp macro="" textlink="">
      <xdr:nvSpPr>
        <xdr:cNvPr id="143" name="CuadroTexto 142">
          <a:extLst>
            <a:ext uri="{FF2B5EF4-FFF2-40B4-BE49-F238E27FC236}">
              <a16:creationId xmlns:a16="http://schemas.microsoft.com/office/drawing/2014/main" id="{C762D38C-D344-47FB-893A-1B32F206CE40}"/>
            </a:ext>
          </a:extLst>
        </xdr:cNvPr>
        <xdr:cNvSpPr txBox="1"/>
      </xdr:nvSpPr>
      <xdr:spPr>
        <a:xfrm>
          <a:off x="5915025" y="1743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7</xdr:col>
      <xdr:colOff>581025</xdr:colOff>
      <xdr:row>33</xdr:row>
      <xdr:rowOff>0</xdr:rowOff>
    </xdr:from>
    <xdr:ext cx="184731" cy="264560"/>
    <xdr:sp macro="" textlink="">
      <xdr:nvSpPr>
        <xdr:cNvPr id="144" name="CuadroTexto 143">
          <a:extLst>
            <a:ext uri="{FF2B5EF4-FFF2-40B4-BE49-F238E27FC236}">
              <a16:creationId xmlns:a16="http://schemas.microsoft.com/office/drawing/2014/main" id="{392E0F6B-B87D-4C7D-827D-74C0D9C3F136}"/>
            </a:ext>
          </a:extLst>
        </xdr:cNvPr>
        <xdr:cNvSpPr txBox="1"/>
      </xdr:nvSpPr>
      <xdr:spPr>
        <a:xfrm>
          <a:off x="5915025" y="1743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7</xdr:col>
      <xdr:colOff>581025</xdr:colOff>
      <xdr:row>33</xdr:row>
      <xdr:rowOff>0</xdr:rowOff>
    </xdr:from>
    <xdr:ext cx="184731" cy="264560"/>
    <xdr:sp macro="" textlink="">
      <xdr:nvSpPr>
        <xdr:cNvPr id="145" name="CuadroTexto 144">
          <a:extLst>
            <a:ext uri="{FF2B5EF4-FFF2-40B4-BE49-F238E27FC236}">
              <a16:creationId xmlns:a16="http://schemas.microsoft.com/office/drawing/2014/main" id="{8452EB06-4B3A-4113-A412-010C4073D39B}"/>
            </a:ext>
          </a:extLst>
        </xdr:cNvPr>
        <xdr:cNvSpPr txBox="1"/>
      </xdr:nvSpPr>
      <xdr:spPr>
        <a:xfrm>
          <a:off x="5915025" y="1743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7</xdr:col>
      <xdr:colOff>581025</xdr:colOff>
      <xdr:row>33</xdr:row>
      <xdr:rowOff>0</xdr:rowOff>
    </xdr:from>
    <xdr:ext cx="184731" cy="264560"/>
    <xdr:sp macro="" textlink="">
      <xdr:nvSpPr>
        <xdr:cNvPr id="146" name="CuadroTexto 145">
          <a:extLst>
            <a:ext uri="{FF2B5EF4-FFF2-40B4-BE49-F238E27FC236}">
              <a16:creationId xmlns:a16="http://schemas.microsoft.com/office/drawing/2014/main" id="{68B3CAF0-0331-4CAE-9C13-03BE9545C35B}"/>
            </a:ext>
          </a:extLst>
        </xdr:cNvPr>
        <xdr:cNvSpPr txBox="1"/>
      </xdr:nvSpPr>
      <xdr:spPr>
        <a:xfrm>
          <a:off x="5915025" y="1743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9</xdr:col>
      <xdr:colOff>581025</xdr:colOff>
      <xdr:row>33</xdr:row>
      <xdr:rowOff>0</xdr:rowOff>
    </xdr:from>
    <xdr:ext cx="184731" cy="264560"/>
    <xdr:sp macro="" textlink="">
      <xdr:nvSpPr>
        <xdr:cNvPr id="147" name="CuadroTexto 146">
          <a:extLst>
            <a:ext uri="{FF2B5EF4-FFF2-40B4-BE49-F238E27FC236}">
              <a16:creationId xmlns:a16="http://schemas.microsoft.com/office/drawing/2014/main" id="{9FC84AD9-13DF-4CE8-B8FE-B45D4F6F8061}"/>
            </a:ext>
          </a:extLst>
        </xdr:cNvPr>
        <xdr:cNvSpPr txBox="1"/>
      </xdr:nvSpPr>
      <xdr:spPr>
        <a:xfrm>
          <a:off x="7562850" y="1743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9</xdr:col>
      <xdr:colOff>581025</xdr:colOff>
      <xdr:row>33</xdr:row>
      <xdr:rowOff>0</xdr:rowOff>
    </xdr:from>
    <xdr:ext cx="184731" cy="264560"/>
    <xdr:sp macro="" textlink="">
      <xdr:nvSpPr>
        <xdr:cNvPr id="148" name="CuadroTexto 147">
          <a:extLst>
            <a:ext uri="{FF2B5EF4-FFF2-40B4-BE49-F238E27FC236}">
              <a16:creationId xmlns:a16="http://schemas.microsoft.com/office/drawing/2014/main" id="{172DE403-0956-4A6E-BC81-270BD20B20D8}"/>
            </a:ext>
          </a:extLst>
        </xdr:cNvPr>
        <xdr:cNvSpPr txBox="1"/>
      </xdr:nvSpPr>
      <xdr:spPr>
        <a:xfrm>
          <a:off x="7562850" y="1743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9</xdr:col>
      <xdr:colOff>581025</xdr:colOff>
      <xdr:row>33</xdr:row>
      <xdr:rowOff>0</xdr:rowOff>
    </xdr:from>
    <xdr:ext cx="184731" cy="264560"/>
    <xdr:sp macro="" textlink="">
      <xdr:nvSpPr>
        <xdr:cNvPr id="149" name="CuadroTexto 148">
          <a:extLst>
            <a:ext uri="{FF2B5EF4-FFF2-40B4-BE49-F238E27FC236}">
              <a16:creationId xmlns:a16="http://schemas.microsoft.com/office/drawing/2014/main" id="{E5E910E4-B20C-4C4D-AD0D-9629E754FBB6}"/>
            </a:ext>
          </a:extLst>
        </xdr:cNvPr>
        <xdr:cNvSpPr txBox="1"/>
      </xdr:nvSpPr>
      <xdr:spPr>
        <a:xfrm>
          <a:off x="7562850" y="1743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9</xdr:col>
      <xdr:colOff>581025</xdr:colOff>
      <xdr:row>33</xdr:row>
      <xdr:rowOff>0</xdr:rowOff>
    </xdr:from>
    <xdr:ext cx="184731" cy="264560"/>
    <xdr:sp macro="" textlink="">
      <xdr:nvSpPr>
        <xdr:cNvPr id="150" name="CuadroTexto 149">
          <a:extLst>
            <a:ext uri="{FF2B5EF4-FFF2-40B4-BE49-F238E27FC236}">
              <a16:creationId xmlns:a16="http://schemas.microsoft.com/office/drawing/2014/main" id="{4AFB98CA-177C-470F-BBD0-F32402BDCB23}"/>
            </a:ext>
          </a:extLst>
        </xdr:cNvPr>
        <xdr:cNvSpPr txBox="1"/>
      </xdr:nvSpPr>
      <xdr:spPr>
        <a:xfrm>
          <a:off x="7562850" y="1743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10</xdr:col>
      <xdr:colOff>581025</xdr:colOff>
      <xdr:row>33</xdr:row>
      <xdr:rowOff>0</xdr:rowOff>
    </xdr:from>
    <xdr:ext cx="184731" cy="264560"/>
    <xdr:sp macro="" textlink="">
      <xdr:nvSpPr>
        <xdr:cNvPr id="151" name="CuadroTexto 150">
          <a:extLst>
            <a:ext uri="{FF2B5EF4-FFF2-40B4-BE49-F238E27FC236}">
              <a16:creationId xmlns:a16="http://schemas.microsoft.com/office/drawing/2014/main" id="{F5E89D33-01E4-4B8E-A924-C169ADDD4BBD}"/>
            </a:ext>
          </a:extLst>
        </xdr:cNvPr>
        <xdr:cNvSpPr txBox="1"/>
      </xdr:nvSpPr>
      <xdr:spPr>
        <a:xfrm>
          <a:off x="8324850" y="1743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10</xdr:col>
      <xdr:colOff>581025</xdr:colOff>
      <xdr:row>33</xdr:row>
      <xdr:rowOff>0</xdr:rowOff>
    </xdr:from>
    <xdr:ext cx="184731" cy="264560"/>
    <xdr:sp macro="" textlink="">
      <xdr:nvSpPr>
        <xdr:cNvPr id="152" name="CuadroTexto 151">
          <a:extLst>
            <a:ext uri="{FF2B5EF4-FFF2-40B4-BE49-F238E27FC236}">
              <a16:creationId xmlns:a16="http://schemas.microsoft.com/office/drawing/2014/main" id="{AC419E12-A907-4FAA-B116-678E9516BA0C}"/>
            </a:ext>
          </a:extLst>
        </xdr:cNvPr>
        <xdr:cNvSpPr txBox="1"/>
      </xdr:nvSpPr>
      <xdr:spPr>
        <a:xfrm>
          <a:off x="8324850" y="1743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10</xdr:col>
      <xdr:colOff>581025</xdr:colOff>
      <xdr:row>33</xdr:row>
      <xdr:rowOff>0</xdr:rowOff>
    </xdr:from>
    <xdr:ext cx="184731" cy="264560"/>
    <xdr:sp macro="" textlink="">
      <xdr:nvSpPr>
        <xdr:cNvPr id="153" name="CuadroTexto 152">
          <a:extLst>
            <a:ext uri="{FF2B5EF4-FFF2-40B4-BE49-F238E27FC236}">
              <a16:creationId xmlns:a16="http://schemas.microsoft.com/office/drawing/2014/main" id="{836EAFAE-1976-40F3-89AD-02D617390E9F}"/>
            </a:ext>
          </a:extLst>
        </xdr:cNvPr>
        <xdr:cNvSpPr txBox="1"/>
      </xdr:nvSpPr>
      <xdr:spPr>
        <a:xfrm>
          <a:off x="8324850" y="1743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10</xdr:col>
      <xdr:colOff>581025</xdr:colOff>
      <xdr:row>33</xdr:row>
      <xdr:rowOff>0</xdr:rowOff>
    </xdr:from>
    <xdr:ext cx="184731" cy="264560"/>
    <xdr:sp macro="" textlink="">
      <xdr:nvSpPr>
        <xdr:cNvPr id="154" name="CuadroTexto 153">
          <a:extLst>
            <a:ext uri="{FF2B5EF4-FFF2-40B4-BE49-F238E27FC236}">
              <a16:creationId xmlns:a16="http://schemas.microsoft.com/office/drawing/2014/main" id="{1B2257C0-F3E9-47A8-9717-0B14B5A82723}"/>
            </a:ext>
          </a:extLst>
        </xdr:cNvPr>
        <xdr:cNvSpPr txBox="1"/>
      </xdr:nvSpPr>
      <xdr:spPr>
        <a:xfrm>
          <a:off x="8324850" y="1743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9</xdr:col>
      <xdr:colOff>581025</xdr:colOff>
      <xdr:row>33</xdr:row>
      <xdr:rowOff>0</xdr:rowOff>
    </xdr:from>
    <xdr:ext cx="184731" cy="264560"/>
    <xdr:sp macro="" textlink="">
      <xdr:nvSpPr>
        <xdr:cNvPr id="155" name="CuadroTexto 154">
          <a:extLst>
            <a:ext uri="{FF2B5EF4-FFF2-40B4-BE49-F238E27FC236}">
              <a16:creationId xmlns:a16="http://schemas.microsoft.com/office/drawing/2014/main" id="{E07533EC-00C7-4B4C-9EB1-40AA2C78702C}"/>
            </a:ext>
          </a:extLst>
        </xdr:cNvPr>
        <xdr:cNvSpPr txBox="1"/>
      </xdr:nvSpPr>
      <xdr:spPr>
        <a:xfrm>
          <a:off x="7562850" y="1743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9</xdr:col>
      <xdr:colOff>581025</xdr:colOff>
      <xdr:row>33</xdr:row>
      <xdr:rowOff>0</xdr:rowOff>
    </xdr:from>
    <xdr:ext cx="184731" cy="264560"/>
    <xdr:sp macro="" textlink="">
      <xdr:nvSpPr>
        <xdr:cNvPr id="156" name="CuadroTexto 155">
          <a:extLst>
            <a:ext uri="{FF2B5EF4-FFF2-40B4-BE49-F238E27FC236}">
              <a16:creationId xmlns:a16="http://schemas.microsoft.com/office/drawing/2014/main" id="{B2078EB5-845C-476C-A6F4-B03BD8D0ED00}"/>
            </a:ext>
          </a:extLst>
        </xdr:cNvPr>
        <xdr:cNvSpPr txBox="1"/>
      </xdr:nvSpPr>
      <xdr:spPr>
        <a:xfrm>
          <a:off x="7562850" y="1743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9</xdr:col>
      <xdr:colOff>581025</xdr:colOff>
      <xdr:row>33</xdr:row>
      <xdr:rowOff>0</xdr:rowOff>
    </xdr:from>
    <xdr:ext cx="184731" cy="264560"/>
    <xdr:sp macro="" textlink="">
      <xdr:nvSpPr>
        <xdr:cNvPr id="157" name="CuadroTexto 156">
          <a:extLst>
            <a:ext uri="{FF2B5EF4-FFF2-40B4-BE49-F238E27FC236}">
              <a16:creationId xmlns:a16="http://schemas.microsoft.com/office/drawing/2014/main" id="{FDB3307E-E1D5-49FC-970E-DFD194E6E6D2}"/>
            </a:ext>
          </a:extLst>
        </xdr:cNvPr>
        <xdr:cNvSpPr txBox="1"/>
      </xdr:nvSpPr>
      <xdr:spPr>
        <a:xfrm>
          <a:off x="7562850" y="1743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7</xdr:col>
      <xdr:colOff>581025</xdr:colOff>
      <xdr:row>33</xdr:row>
      <xdr:rowOff>0</xdr:rowOff>
    </xdr:from>
    <xdr:ext cx="184731" cy="264560"/>
    <xdr:sp macro="" textlink="">
      <xdr:nvSpPr>
        <xdr:cNvPr id="158" name="CuadroTexto 157">
          <a:extLst>
            <a:ext uri="{FF2B5EF4-FFF2-40B4-BE49-F238E27FC236}">
              <a16:creationId xmlns:a16="http://schemas.microsoft.com/office/drawing/2014/main" id="{18FDD035-FFFB-4AE6-810F-68281F195614}"/>
            </a:ext>
          </a:extLst>
        </xdr:cNvPr>
        <xdr:cNvSpPr txBox="1"/>
      </xdr:nvSpPr>
      <xdr:spPr>
        <a:xfrm>
          <a:off x="5915025" y="1743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7</xdr:col>
      <xdr:colOff>581025</xdr:colOff>
      <xdr:row>33</xdr:row>
      <xdr:rowOff>0</xdr:rowOff>
    </xdr:from>
    <xdr:ext cx="184731" cy="264560"/>
    <xdr:sp macro="" textlink="">
      <xdr:nvSpPr>
        <xdr:cNvPr id="159" name="CuadroTexto 158">
          <a:extLst>
            <a:ext uri="{FF2B5EF4-FFF2-40B4-BE49-F238E27FC236}">
              <a16:creationId xmlns:a16="http://schemas.microsoft.com/office/drawing/2014/main" id="{9D3603B6-5B66-44E2-B7AE-2D80FD36B925}"/>
            </a:ext>
          </a:extLst>
        </xdr:cNvPr>
        <xdr:cNvSpPr txBox="1"/>
      </xdr:nvSpPr>
      <xdr:spPr>
        <a:xfrm>
          <a:off x="5915025" y="1743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7</xdr:col>
      <xdr:colOff>581025</xdr:colOff>
      <xdr:row>33</xdr:row>
      <xdr:rowOff>0</xdr:rowOff>
    </xdr:from>
    <xdr:ext cx="184731" cy="264560"/>
    <xdr:sp macro="" textlink="">
      <xdr:nvSpPr>
        <xdr:cNvPr id="160" name="CuadroTexto 159">
          <a:extLst>
            <a:ext uri="{FF2B5EF4-FFF2-40B4-BE49-F238E27FC236}">
              <a16:creationId xmlns:a16="http://schemas.microsoft.com/office/drawing/2014/main" id="{07E154F7-6A58-412B-A6E6-B53351778406}"/>
            </a:ext>
          </a:extLst>
        </xdr:cNvPr>
        <xdr:cNvSpPr txBox="1"/>
      </xdr:nvSpPr>
      <xdr:spPr>
        <a:xfrm>
          <a:off x="5915025" y="1743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7</xdr:col>
      <xdr:colOff>581025</xdr:colOff>
      <xdr:row>33</xdr:row>
      <xdr:rowOff>0</xdr:rowOff>
    </xdr:from>
    <xdr:ext cx="184731" cy="264560"/>
    <xdr:sp macro="" textlink="">
      <xdr:nvSpPr>
        <xdr:cNvPr id="161" name="CuadroTexto 160">
          <a:extLst>
            <a:ext uri="{FF2B5EF4-FFF2-40B4-BE49-F238E27FC236}">
              <a16:creationId xmlns:a16="http://schemas.microsoft.com/office/drawing/2014/main" id="{6AA8E907-BE90-472A-B885-A771CC577CE2}"/>
            </a:ext>
          </a:extLst>
        </xdr:cNvPr>
        <xdr:cNvSpPr txBox="1"/>
      </xdr:nvSpPr>
      <xdr:spPr>
        <a:xfrm>
          <a:off x="5915025" y="1743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9</xdr:col>
      <xdr:colOff>581025</xdr:colOff>
      <xdr:row>33</xdr:row>
      <xdr:rowOff>0</xdr:rowOff>
    </xdr:from>
    <xdr:ext cx="184731" cy="264560"/>
    <xdr:sp macro="" textlink="">
      <xdr:nvSpPr>
        <xdr:cNvPr id="162" name="CuadroTexto 161">
          <a:extLst>
            <a:ext uri="{FF2B5EF4-FFF2-40B4-BE49-F238E27FC236}">
              <a16:creationId xmlns:a16="http://schemas.microsoft.com/office/drawing/2014/main" id="{203A3C2E-6826-4D6A-AA78-BB216E070358}"/>
            </a:ext>
          </a:extLst>
        </xdr:cNvPr>
        <xdr:cNvSpPr txBox="1"/>
      </xdr:nvSpPr>
      <xdr:spPr>
        <a:xfrm>
          <a:off x="7562850" y="1743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9</xdr:col>
      <xdr:colOff>581025</xdr:colOff>
      <xdr:row>33</xdr:row>
      <xdr:rowOff>0</xdr:rowOff>
    </xdr:from>
    <xdr:ext cx="184731" cy="264560"/>
    <xdr:sp macro="" textlink="">
      <xdr:nvSpPr>
        <xdr:cNvPr id="163" name="CuadroTexto 162">
          <a:extLst>
            <a:ext uri="{FF2B5EF4-FFF2-40B4-BE49-F238E27FC236}">
              <a16:creationId xmlns:a16="http://schemas.microsoft.com/office/drawing/2014/main" id="{0E72AE4A-2039-4AB9-B958-8480D17D6E32}"/>
            </a:ext>
          </a:extLst>
        </xdr:cNvPr>
        <xdr:cNvSpPr txBox="1"/>
      </xdr:nvSpPr>
      <xdr:spPr>
        <a:xfrm>
          <a:off x="7562850" y="1743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9</xdr:col>
      <xdr:colOff>581025</xdr:colOff>
      <xdr:row>33</xdr:row>
      <xdr:rowOff>0</xdr:rowOff>
    </xdr:from>
    <xdr:ext cx="184731" cy="264560"/>
    <xdr:sp macro="" textlink="">
      <xdr:nvSpPr>
        <xdr:cNvPr id="164" name="CuadroTexto 163">
          <a:extLst>
            <a:ext uri="{FF2B5EF4-FFF2-40B4-BE49-F238E27FC236}">
              <a16:creationId xmlns:a16="http://schemas.microsoft.com/office/drawing/2014/main" id="{C05B1C04-9A11-41EE-AC1E-77B243D92BDC}"/>
            </a:ext>
          </a:extLst>
        </xdr:cNvPr>
        <xdr:cNvSpPr txBox="1"/>
      </xdr:nvSpPr>
      <xdr:spPr>
        <a:xfrm>
          <a:off x="7562850" y="1743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9</xdr:col>
      <xdr:colOff>581025</xdr:colOff>
      <xdr:row>33</xdr:row>
      <xdr:rowOff>0</xdr:rowOff>
    </xdr:from>
    <xdr:ext cx="184731" cy="264560"/>
    <xdr:sp macro="" textlink="">
      <xdr:nvSpPr>
        <xdr:cNvPr id="165" name="CuadroTexto 164">
          <a:extLst>
            <a:ext uri="{FF2B5EF4-FFF2-40B4-BE49-F238E27FC236}">
              <a16:creationId xmlns:a16="http://schemas.microsoft.com/office/drawing/2014/main" id="{61C6876A-ABEB-4351-A4A9-4C2AC6649701}"/>
            </a:ext>
          </a:extLst>
        </xdr:cNvPr>
        <xdr:cNvSpPr txBox="1"/>
      </xdr:nvSpPr>
      <xdr:spPr>
        <a:xfrm>
          <a:off x="7562850" y="1743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10</xdr:col>
      <xdr:colOff>581025</xdr:colOff>
      <xdr:row>33</xdr:row>
      <xdr:rowOff>0</xdr:rowOff>
    </xdr:from>
    <xdr:ext cx="184731" cy="264560"/>
    <xdr:sp macro="" textlink="">
      <xdr:nvSpPr>
        <xdr:cNvPr id="166" name="CuadroTexto 165">
          <a:extLst>
            <a:ext uri="{FF2B5EF4-FFF2-40B4-BE49-F238E27FC236}">
              <a16:creationId xmlns:a16="http://schemas.microsoft.com/office/drawing/2014/main" id="{C68018B1-7825-4A1B-AD65-9D18A49B505F}"/>
            </a:ext>
          </a:extLst>
        </xdr:cNvPr>
        <xdr:cNvSpPr txBox="1"/>
      </xdr:nvSpPr>
      <xdr:spPr>
        <a:xfrm>
          <a:off x="8324850" y="1743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52387</xdr:rowOff>
    </xdr:from>
    <xdr:to>
      <xdr:col>20</xdr:col>
      <xdr:colOff>1714500</xdr:colOff>
      <xdr:row>0</xdr:row>
      <xdr:rowOff>889000</xdr:rowOff>
    </xdr:to>
    <xdr:pic>
      <xdr:nvPicPr>
        <xdr:cNvPr id="2" name="3 Imagen">
          <a:extLst>
            <a:ext uri="{FF2B5EF4-FFF2-40B4-BE49-F238E27FC236}">
              <a16:creationId xmlns:a16="http://schemas.microsoft.com/office/drawing/2014/main" id="{9350C42C-A3A2-4692-8C49-9DBEF0EF7BD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940" t="25337" r="15240" b="14766"/>
        <a:stretch>
          <a:fillRect/>
        </a:stretch>
      </xdr:blipFill>
      <xdr:spPr bwMode="auto">
        <a:xfrm>
          <a:off x="0" y="52387"/>
          <a:ext cx="14725650" cy="8366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723900</xdr:colOff>
      <xdr:row>0</xdr:row>
      <xdr:rowOff>123825</xdr:rowOff>
    </xdr:from>
    <xdr:to>
      <xdr:col>20</xdr:col>
      <xdr:colOff>704865</xdr:colOff>
      <xdr:row>0</xdr:row>
      <xdr:rowOff>808600</xdr:rowOff>
    </xdr:to>
    <xdr:sp macro="" textlink="">
      <xdr:nvSpPr>
        <xdr:cNvPr id="3" name="3 CuadroTexto">
          <a:extLst>
            <a:ext uri="{FF2B5EF4-FFF2-40B4-BE49-F238E27FC236}">
              <a16:creationId xmlns:a16="http://schemas.microsoft.com/office/drawing/2014/main" id="{29BAE5CB-B5E9-4181-8419-765EA9A5FC1A}"/>
            </a:ext>
          </a:extLst>
        </xdr:cNvPr>
        <xdr:cNvSpPr txBox="1"/>
      </xdr:nvSpPr>
      <xdr:spPr bwMode="auto">
        <a:xfrm>
          <a:off x="11553825" y="123825"/>
          <a:ext cx="3600465" cy="684775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CO" sz="1600" b="1" i="0" u="none" strike="noStrike" kern="0" cap="none" spc="0" normalizeH="0" baseline="0" noProof="0">
              <a:ln>
                <a:noFill/>
              </a:ln>
              <a:solidFill>
                <a:srgbClr val="006600"/>
              </a:solidFill>
              <a:effectLst/>
              <a:uLnTx/>
              <a:uFillTx/>
              <a:latin typeface="Calibri"/>
              <a:ea typeface="+mn-ea"/>
              <a:cs typeface="+mn-cs"/>
            </a:rPr>
            <a:t>UNIVERSIDAD DEL QUINDIO</a:t>
          </a:r>
        </a:p>
        <a:p>
          <a:pPr algn="ctr" eaLnBrk="1" fontAlgn="auto" latinLnBrk="0" hangingPunct="1"/>
          <a:r>
            <a:rPr lang="es-CO" sz="1100" b="0" i="0" baseline="0">
              <a:solidFill>
                <a:srgbClr val="006600"/>
              </a:solidFill>
              <a:effectLst/>
              <a:latin typeface="+mn-lt"/>
              <a:ea typeface="+mn-ea"/>
              <a:cs typeface="+mn-cs"/>
            </a:rPr>
            <a:t>Oficina de Asuntos Profesorales</a:t>
          </a:r>
          <a:endParaRPr lang="es-CO">
            <a:solidFill>
              <a:srgbClr val="006600"/>
            </a:solidFill>
            <a:effectLst/>
          </a:endParaRPr>
        </a:p>
      </xdr:txBody>
    </xdr:sp>
    <xdr:clientData/>
  </xdr:twoCellAnchor>
  <xdr:twoCellAnchor>
    <xdr:from>
      <xdr:col>1</xdr:col>
      <xdr:colOff>62178</xdr:colOff>
      <xdr:row>0</xdr:row>
      <xdr:rowOff>70744</xdr:rowOff>
    </xdr:from>
    <xdr:to>
      <xdr:col>2</xdr:col>
      <xdr:colOff>190500</xdr:colOff>
      <xdr:row>0</xdr:row>
      <xdr:rowOff>829824</xdr:rowOff>
    </xdr:to>
    <xdr:pic>
      <xdr:nvPicPr>
        <xdr:cNvPr id="4" name="Picture 1" descr="logo de la universidad del quindio">
          <a:extLst>
            <a:ext uri="{FF2B5EF4-FFF2-40B4-BE49-F238E27FC236}">
              <a16:creationId xmlns:a16="http://schemas.microsoft.com/office/drawing/2014/main" id="{308A7EB6-CF23-4B36-BE80-5F3A52B044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-30000"/>
        </a:blip>
        <a:srcRect/>
        <a:stretch>
          <a:fillRect/>
        </a:stretch>
      </xdr:blipFill>
      <xdr:spPr bwMode="auto">
        <a:xfrm>
          <a:off x="395553" y="70744"/>
          <a:ext cx="566472" cy="759080"/>
        </a:xfrm>
        <a:prstGeom prst="rect">
          <a:avLst/>
        </a:prstGeom>
        <a:ln>
          <a:noFill/>
        </a:ln>
        <a:effectLst>
          <a:outerShdw blurRad="292100" dist="50800" dir="2700000" sx="97000" sy="97000" algn="tl" rotWithShape="0">
            <a:srgbClr val="333333">
              <a:alpha val="5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200858</xdr:colOff>
      <xdr:row>0</xdr:row>
      <xdr:rowOff>153918</xdr:rowOff>
    </xdr:from>
    <xdr:to>
      <xdr:col>14</xdr:col>
      <xdr:colOff>431307</xdr:colOff>
      <xdr:row>0</xdr:row>
      <xdr:rowOff>865799</xdr:rowOff>
    </xdr:to>
    <xdr:sp macro="" textlink="">
      <xdr:nvSpPr>
        <xdr:cNvPr id="5" name="5 CuadroTexto">
          <a:extLst>
            <a:ext uri="{FF2B5EF4-FFF2-40B4-BE49-F238E27FC236}">
              <a16:creationId xmlns:a16="http://schemas.microsoft.com/office/drawing/2014/main" id="{8A9C525B-965F-40EA-A81F-444284DDDFE2}"/>
            </a:ext>
          </a:extLst>
        </xdr:cNvPr>
        <xdr:cNvSpPr txBox="1"/>
      </xdr:nvSpPr>
      <xdr:spPr bwMode="auto">
        <a:xfrm>
          <a:off x="4820483" y="153918"/>
          <a:ext cx="5612074" cy="711881"/>
        </a:xfrm>
        <a:prstGeom prst="rect">
          <a:avLst/>
        </a:prstGeom>
        <a:solidFill>
          <a:sysClr val="window" lastClr="FFFFFF">
            <a:alpha val="80000"/>
          </a:sysClr>
        </a:solidFill>
        <a:ln w="9525" cmpd="sng">
          <a:noFill/>
        </a:ln>
        <a:effectLst/>
      </xdr:spPr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CO" sz="1200" b="1" i="0" u="none" strike="noStrike" kern="0" cap="none" spc="0" normalizeH="0" baseline="0" noProof="0">
              <a:ln>
                <a:noFill/>
              </a:ln>
              <a:solidFill>
                <a:srgbClr val="006600"/>
              </a:solidFill>
              <a:effectLst/>
              <a:uLnTx/>
              <a:uFillTx/>
              <a:latin typeface="Calibri"/>
              <a:ea typeface="+mn-ea"/>
              <a:cs typeface="+mn-cs"/>
            </a:rPr>
            <a:t>Base de Datos Cod: DOC_02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CO" sz="1200" b="1" i="0" u="none" strike="noStrike" kern="0" cap="none" spc="0" normalizeH="0" baseline="0" noProof="0">
              <a:ln>
                <a:noFill/>
              </a:ln>
              <a:solidFill>
                <a:srgbClr val="006600"/>
              </a:solidFill>
              <a:effectLst/>
              <a:uLnTx/>
              <a:uFillTx/>
              <a:latin typeface="Calibri"/>
              <a:ea typeface="+mn-ea"/>
              <a:cs typeface="+mn-cs"/>
            </a:rPr>
            <a:t>(PRODUCTIVIDAD LIBROS ENSAYO)</a:t>
          </a:r>
        </a:p>
      </xdr:txBody>
    </xdr:sp>
    <xdr:clientData/>
  </xdr:twoCellAnchor>
  <xdr:twoCellAnchor>
    <xdr:from>
      <xdr:col>3</xdr:col>
      <xdr:colOff>391641</xdr:colOff>
      <xdr:row>0</xdr:row>
      <xdr:rowOff>185737</xdr:rowOff>
    </xdr:from>
    <xdr:to>
      <xdr:col>3</xdr:col>
      <xdr:colOff>718130</xdr:colOff>
      <xdr:row>0</xdr:row>
      <xdr:rowOff>458055</xdr:rowOff>
    </xdr:to>
    <xdr:pic>
      <xdr:nvPicPr>
        <xdr:cNvPr id="6" name="Picture 1" descr="logo de la universidad del quindio">
          <a:extLst>
            <a:ext uri="{FF2B5EF4-FFF2-40B4-BE49-F238E27FC236}">
              <a16:creationId xmlns:a16="http://schemas.microsoft.com/office/drawing/2014/main" id="{954BD9C7-8EFC-4D2A-92F6-5B028B1CE05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duotone>
            <a:srgbClr val="9BBB59">
              <a:shade val="45000"/>
              <a:satMod val="135000"/>
            </a:srgb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 b="22568"/>
        <a:stretch/>
      </xdr:blipFill>
      <xdr:spPr bwMode="auto">
        <a:xfrm>
          <a:off x="1448916" y="185737"/>
          <a:ext cx="326489" cy="2723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786562</xdr:colOff>
      <xdr:row>0</xdr:row>
      <xdr:rowOff>335635</xdr:rowOff>
    </xdr:from>
    <xdr:to>
      <xdr:col>3</xdr:col>
      <xdr:colOff>1007101</xdr:colOff>
      <xdr:row>0</xdr:row>
      <xdr:rowOff>519581</xdr:rowOff>
    </xdr:to>
    <xdr:pic>
      <xdr:nvPicPr>
        <xdr:cNvPr id="7" name="Picture 1" descr="logo de la universidad del quindio">
          <a:extLst>
            <a:ext uri="{FF2B5EF4-FFF2-40B4-BE49-F238E27FC236}">
              <a16:creationId xmlns:a16="http://schemas.microsoft.com/office/drawing/2014/main" id="{CA9788F7-7E33-47C9-828A-21281FB60B1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duotone>
            <a:srgbClr val="EEECE1">
              <a:shade val="45000"/>
              <a:satMod val="135000"/>
            </a:srgb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 b="22568"/>
        <a:stretch/>
      </xdr:blipFill>
      <xdr:spPr bwMode="auto">
        <a:xfrm>
          <a:off x="1843837" y="335635"/>
          <a:ext cx="220539" cy="18394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295275</xdr:colOff>
      <xdr:row>0</xdr:row>
      <xdr:rowOff>525305</xdr:rowOff>
    </xdr:from>
    <xdr:to>
      <xdr:col>3</xdr:col>
      <xdr:colOff>449823</xdr:colOff>
      <xdr:row>0</xdr:row>
      <xdr:rowOff>654209</xdr:rowOff>
    </xdr:to>
    <xdr:pic>
      <xdr:nvPicPr>
        <xdr:cNvPr id="8" name="Picture 1" descr="logo de la universidad del quindio">
          <a:extLst>
            <a:ext uri="{FF2B5EF4-FFF2-40B4-BE49-F238E27FC236}">
              <a16:creationId xmlns:a16="http://schemas.microsoft.com/office/drawing/2014/main" id="{C88B37BD-F712-47DB-B5A8-B78B5F8E944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duotone>
            <a:srgbClr val="4F81BD">
              <a:shade val="45000"/>
              <a:satMod val="135000"/>
            </a:srgb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 b="22568"/>
        <a:stretch/>
      </xdr:blipFill>
      <xdr:spPr bwMode="auto">
        <a:xfrm>
          <a:off x="1352550" y="525305"/>
          <a:ext cx="154548" cy="1289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555624</xdr:colOff>
      <xdr:row>0</xdr:row>
      <xdr:rowOff>523165</xdr:rowOff>
    </xdr:from>
    <xdr:to>
      <xdr:col>3</xdr:col>
      <xdr:colOff>776162</xdr:colOff>
      <xdr:row>0</xdr:row>
      <xdr:rowOff>707111</xdr:rowOff>
    </xdr:to>
    <xdr:pic>
      <xdr:nvPicPr>
        <xdr:cNvPr id="9" name="Picture 1" descr="logo de la universidad del quindio">
          <a:extLst>
            <a:ext uri="{FF2B5EF4-FFF2-40B4-BE49-F238E27FC236}">
              <a16:creationId xmlns:a16="http://schemas.microsoft.com/office/drawing/2014/main" id="{75202CD3-947C-473A-BD6D-D43B020CA24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duotone>
            <a:srgbClr val="F79646">
              <a:shade val="45000"/>
              <a:satMod val="135000"/>
            </a:srgb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 b="22568"/>
        <a:stretch/>
      </xdr:blipFill>
      <xdr:spPr bwMode="auto">
        <a:xfrm>
          <a:off x="1612899" y="523165"/>
          <a:ext cx="220538" cy="18394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28965</xdr:colOff>
      <xdr:row>0</xdr:row>
      <xdr:rowOff>199132</xdr:rowOff>
    </xdr:from>
    <xdr:to>
      <xdr:col>4</xdr:col>
      <xdr:colOff>141255</xdr:colOff>
      <xdr:row>0</xdr:row>
      <xdr:rowOff>292792</xdr:rowOff>
    </xdr:to>
    <xdr:pic>
      <xdr:nvPicPr>
        <xdr:cNvPr id="10" name="Picture 1" descr="logo de la universidad del quindio">
          <a:extLst>
            <a:ext uri="{FF2B5EF4-FFF2-40B4-BE49-F238E27FC236}">
              <a16:creationId xmlns:a16="http://schemas.microsoft.com/office/drawing/2014/main" id="{CEA710E8-4A37-4B99-BEEB-7D54213CDA2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cstate="print">
          <a:duotone>
            <a:srgbClr val="4F81BD">
              <a:shade val="45000"/>
              <a:satMod val="135000"/>
            </a:srgb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 b="22568"/>
        <a:stretch/>
      </xdr:blipFill>
      <xdr:spPr bwMode="auto">
        <a:xfrm>
          <a:off x="2248290" y="199132"/>
          <a:ext cx="112290" cy="936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834997</xdr:colOff>
      <xdr:row>0</xdr:row>
      <xdr:rowOff>206345</xdr:rowOff>
    </xdr:from>
    <xdr:to>
      <xdr:col>3</xdr:col>
      <xdr:colOff>901706</xdr:colOff>
      <xdr:row>0</xdr:row>
      <xdr:rowOff>261986</xdr:rowOff>
    </xdr:to>
    <xdr:pic>
      <xdr:nvPicPr>
        <xdr:cNvPr id="11" name="Picture 1" descr="logo de la universidad del quindio">
          <a:extLst>
            <a:ext uri="{FF2B5EF4-FFF2-40B4-BE49-F238E27FC236}">
              <a16:creationId xmlns:a16="http://schemas.microsoft.com/office/drawing/2014/main" id="{174B9709-FA07-406A-B01E-D097AABF788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cstate="print">
          <a:duotone>
            <a:srgbClr val="8064A2">
              <a:shade val="45000"/>
              <a:satMod val="135000"/>
            </a:srgb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 b="22568"/>
        <a:stretch/>
      </xdr:blipFill>
      <xdr:spPr bwMode="auto">
        <a:xfrm>
          <a:off x="1892272" y="206345"/>
          <a:ext cx="66709" cy="556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1017066</xdr:colOff>
      <xdr:row>0</xdr:row>
      <xdr:rowOff>246491</xdr:rowOff>
    </xdr:from>
    <xdr:to>
      <xdr:col>3</xdr:col>
      <xdr:colOff>1129356</xdr:colOff>
      <xdr:row>0</xdr:row>
      <xdr:rowOff>340150</xdr:rowOff>
    </xdr:to>
    <xdr:pic>
      <xdr:nvPicPr>
        <xdr:cNvPr id="12" name="Picture 1" descr="logo de la universidad del quindio">
          <a:extLst>
            <a:ext uri="{FF2B5EF4-FFF2-40B4-BE49-F238E27FC236}">
              <a16:creationId xmlns:a16="http://schemas.microsoft.com/office/drawing/2014/main" id="{9D3137D6-CF44-4656-B718-DF1782A5D16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cstate="print">
          <a:duotone>
            <a:srgbClr val="F79646">
              <a:shade val="45000"/>
              <a:satMod val="135000"/>
            </a:srgb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 b="22568"/>
        <a:stretch/>
      </xdr:blipFill>
      <xdr:spPr bwMode="auto">
        <a:xfrm>
          <a:off x="2074341" y="246491"/>
          <a:ext cx="112290" cy="936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182091</xdr:colOff>
      <xdr:row>0</xdr:row>
      <xdr:rowOff>204787</xdr:rowOff>
    </xdr:from>
    <xdr:to>
      <xdr:col>4</xdr:col>
      <xdr:colOff>508580</xdr:colOff>
      <xdr:row>0</xdr:row>
      <xdr:rowOff>477105</xdr:rowOff>
    </xdr:to>
    <xdr:pic>
      <xdr:nvPicPr>
        <xdr:cNvPr id="13" name="Picture 1" descr="logo de la universidad del quindio">
          <a:extLst>
            <a:ext uri="{FF2B5EF4-FFF2-40B4-BE49-F238E27FC236}">
              <a16:creationId xmlns:a16="http://schemas.microsoft.com/office/drawing/2014/main" id="{2749EC57-03D2-475B-83E7-94ECC3B4284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duotone>
            <a:srgbClr val="9BBB59">
              <a:shade val="45000"/>
              <a:satMod val="135000"/>
            </a:srgb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 b="22568"/>
        <a:stretch/>
      </xdr:blipFill>
      <xdr:spPr bwMode="auto">
        <a:xfrm>
          <a:off x="2401416" y="204787"/>
          <a:ext cx="326489" cy="2723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577012</xdr:colOff>
      <xdr:row>0</xdr:row>
      <xdr:rowOff>354685</xdr:rowOff>
    </xdr:from>
    <xdr:to>
      <xdr:col>4</xdr:col>
      <xdr:colOff>797551</xdr:colOff>
      <xdr:row>0</xdr:row>
      <xdr:rowOff>538631</xdr:rowOff>
    </xdr:to>
    <xdr:pic>
      <xdr:nvPicPr>
        <xdr:cNvPr id="14" name="Picture 1" descr="logo de la universidad del quindio">
          <a:extLst>
            <a:ext uri="{FF2B5EF4-FFF2-40B4-BE49-F238E27FC236}">
              <a16:creationId xmlns:a16="http://schemas.microsoft.com/office/drawing/2014/main" id="{DF4561EB-8AB0-480F-938A-D428661C041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duotone>
            <a:srgbClr val="EEECE1">
              <a:shade val="45000"/>
              <a:satMod val="135000"/>
            </a:srgb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 b="22568"/>
        <a:stretch/>
      </xdr:blipFill>
      <xdr:spPr bwMode="auto">
        <a:xfrm>
          <a:off x="2796337" y="354685"/>
          <a:ext cx="220539" cy="18394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85725</xdr:colOff>
      <xdr:row>0</xdr:row>
      <xdr:rowOff>544355</xdr:rowOff>
    </xdr:from>
    <xdr:to>
      <xdr:col>4</xdr:col>
      <xdr:colOff>240273</xdr:colOff>
      <xdr:row>0</xdr:row>
      <xdr:rowOff>673259</xdr:rowOff>
    </xdr:to>
    <xdr:pic>
      <xdr:nvPicPr>
        <xdr:cNvPr id="15" name="Picture 1" descr="logo de la universidad del quindio">
          <a:extLst>
            <a:ext uri="{FF2B5EF4-FFF2-40B4-BE49-F238E27FC236}">
              <a16:creationId xmlns:a16="http://schemas.microsoft.com/office/drawing/2014/main" id="{CC45747E-C4A4-44AC-A0FD-384873240ED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duotone>
            <a:srgbClr val="4F81BD">
              <a:shade val="45000"/>
              <a:satMod val="135000"/>
            </a:srgb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 b="22568"/>
        <a:stretch/>
      </xdr:blipFill>
      <xdr:spPr bwMode="auto">
        <a:xfrm>
          <a:off x="2305050" y="544355"/>
          <a:ext cx="154548" cy="1289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346074</xdr:colOff>
      <xdr:row>0</xdr:row>
      <xdr:rowOff>542215</xdr:rowOff>
    </xdr:from>
    <xdr:to>
      <xdr:col>4</xdr:col>
      <xdr:colOff>566612</xdr:colOff>
      <xdr:row>0</xdr:row>
      <xdr:rowOff>726161</xdr:rowOff>
    </xdr:to>
    <xdr:pic>
      <xdr:nvPicPr>
        <xdr:cNvPr id="16" name="Picture 1" descr="logo de la universidad del quindio">
          <a:extLst>
            <a:ext uri="{FF2B5EF4-FFF2-40B4-BE49-F238E27FC236}">
              <a16:creationId xmlns:a16="http://schemas.microsoft.com/office/drawing/2014/main" id="{643B8757-4356-4F75-AEDF-512783F89D0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duotone>
            <a:srgbClr val="F79646">
              <a:shade val="45000"/>
              <a:satMod val="135000"/>
            </a:srgb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 b="22568"/>
        <a:stretch/>
      </xdr:blipFill>
      <xdr:spPr bwMode="auto">
        <a:xfrm>
          <a:off x="2565399" y="542215"/>
          <a:ext cx="220538" cy="18394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19440</xdr:colOff>
      <xdr:row>0</xdr:row>
      <xdr:rowOff>218182</xdr:rowOff>
    </xdr:from>
    <xdr:to>
      <xdr:col>5</xdr:col>
      <xdr:colOff>131730</xdr:colOff>
      <xdr:row>0</xdr:row>
      <xdr:rowOff>311842</xdr:rowOff>
    </xdr:to>
    <xdr:pic>
      <xdr:nvPicPr>
        <xdr:cNvPr id="17" name="Picture 1" descr="logo de la universidad del quindio">
          <a:extLst>
            <a:ext uri="{FF2B5EF4-FFF2-40B4-BE49-F238E27FC236}">
              <a16:creationId xmlns:a16="http://schemas.microsoft.com/office/drawing/2014/main" id="{79265D73-96B6-41D9-AF5E-B088759FF65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cstate="print">
          <a:duotone>
            <a:srgbClr val="4F81BD">
              <a:shade val="45000"/>
              <a:satMod val="135000"/>
            </a:srgb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 b="22568"/>
        <a:stretch/>
      </xdr:blipFill>
      <xdr:spPr bwMode="auto">
        <a:xfrm>
          <a:off x="3200790" y="218182"/>
          <a:ext cx="112290" cy="936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625447</xdr:colOff>
      <xdr:row>0</xdr:row>
      <xdr:rowOff>225395</xdr:rowOff>
    </xdr:from>
    <xdr:to>
      <xdr:col>4</xdr:col>
      <xdr:colOff>692156</xdr:colOff>
      <xdr:row>0</xdr:row>
      <xdr:rowOff>281036</xdr:rowOff>
    </xdr:to>
    <xdr:pic>
      <xdr:nvPicPr>
        <xdr:cNvPr id="18" name="Picture 1" descr="logo de la universidad del quindio">
          <a:extLst>
            <a:ext uri="{FF2B5EF4-FFF2-40B4-BE49-F238E27FC236}">
              <a16:creationId xmlns:a16="http://schemas.microsoft.com/office/drawing/2014/main" id="{801C31F9-994E-4A35-B29A-907D4AD6471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cstate="print">
          <a:duotone>
            <a:srgbClr val="8064A2">
              <a:shade val="45000"/>
              <a:satMod val="135000"/>
            </a:srgb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 b="22568"/>
        <a:stretch/>
      </xdr:blipFill>
      <xdr:spPr bwMode="auto">
        <a:xfrm>
          <a:off x="2844772" y="225395"/>
          <a:ext cx="66709" cy="556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807516</xdr:colOff>
      <xdr:row>0</xdr:row>
      <xdr:rowOff>265541</xdr:rowOff>
    </xdr:from>
    <xdr:to>
      <xdr:col>4</xdr:col>
      <xdr:colOff>919806</xdr:colOff>
      <xdr:row>0</xdr:row>
      <xdr:rowOff>359200</xdr:rowOff>
    </xdr:to>
    <xdr:pic>
      <xdr:nvPicPr>
        <xdr:cNvPr id="19" name="Picture 1" descr="logo de la universidad del quindio">
          <a:extLst>
            <a:ext uri="{FF2B5EF4-FFF2-40B4-BE49-F238E27FC236}">
              <a16:creationId xmlns:a16="http://schemas.microsoft.com/office/drawing/2014/main" id="{4B8536DA-086D-482D-BC23-39FB6456635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cstate="print">
          <a:duotone>
            <a:srgbClr val="F79646">
              <a:shade val="45000"/>
              <a:satMod val="135000"/>
            </a:srgb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 b="22568"/>
        <a:stretch/>
      </xdr:blipFill>
      <xdr:spPr bwMode="auto">
        <a:xfrm>
          <a:off x="3026841" y="265541"/>
          <a:ext cx="112290" cy="936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42334</xdr:colOff>
      <xdr:row>0</xdr:row>
      <xdr:rowOff>43707</xdr:rowOff>
    </xdr:from>
    <xdr:to>
      <xdr:col>20</xdr:col>
      <xdr:colOff>1714499</xdr:colOff>
      <xdr:row>1</xdr:row>
      <xdr:rowOff>9524</xdr:rowOff>
    </xdr:to>
    <xdr:grpSp>
      <xdr:nvGrpSpPr>
        <xdr:cNvPr id="2" name="1 Grupo">
          <a:extLst>
            <a:ext uri="{FF2B5EF4-FFF2-40B4-BE49-F238E27FC236}">
              <a16:creationId xmlns:a16="http://schemas.microsoft.com/office/drawing/2014/main" id="{0EECF568-2132-4DD8-8024-E00CBADFC144}"/>
            </a:ext>
          </a:extLst>
        </xdr:cNvPr>
        <xdr:cNvGrpSpPr/>
      </xdr:nvGrpSpPr>
      <xdr:grpSpPr>
        <a:xfrm>
          <a:off x="42334" y="43707"/>
          <a:ext cx="17758832" cy="875984"/>
          <a:chOff x="2758685" y="9998515"/>
          <a:chExt cx="9310047" cy="760253"/>
        </a:xfrm>
      </xdr:grpSpPr>
      <xdr:pic>
        <xdr:nvPicPr>
          <xdr:cNvPr id="3" name="3 Imagen">
            <a:extLst>
              <a:ext uri="{FF2B5EF4-FFF2-40B4-BE49-F238E27FC236}">
                <a16:creationId xmlns:a16="http://schemas.microsoft.com/office/drawing/2014/main" id="{9CA6A8E7-167E-4BCC-A744-DAB6282308E1}"/>
              </a:ext>
            </a:extLst>
          </xdr:cNvPr>
          <xdr:cNvPicPr preferRelativeResize="0"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4940" t="25337" r="15240" b="14766"/>
          <a:stretch>
            <a:fillRect/>
          </a:stretch>
        </xdr:blipFill>
        <xdr:spPr bwMode="auto">
          <a:xfrm>
            <a:off x="2758685" y="9998515"/>
            <a:ext cx="9310047" cy="71830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4" name="3 CuadroTexto">
            <a:extLst>
              <a:ext uri="{FF2B5EF4-FFF2-40B4-BE49-F238E27FC236}">
                <a16:creationId xmlns:a16="http://schemas.microsoft.com/office/drawing/2014/main" id="{87B615FA-D6C5-4C59-82B6-226DDF2466EF}"/>
              </a:ext>
            </a:extLst>
          </xdr:cNvPr>
          <xdr:cNvSpPr txBox="1"/>
        </xdr:nvSpPr>
        <xdr:spPr bwMode="auto">
          <a:xfrm>
            <a:off x="10151691" y="10051259"/>
            <a:ext cx="1731198" cy="555542"/>
          </a:xfrm>
          <a:prstGeom prst="rect">
            <a:avLst/>
          </a:prstGeom>
          <a:noFill/>
          <a:ln w="9525" cmpd="sng">
            <a:noFill/>
          </a:ln>
          <a:effectLst/>
        </xdr:spPr>
        <xdr:txBody>
          <a:bodyPr vertOverflow="clip" horzOverflow="clip" wrap="squar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CO" sz="1600" b="1" i="0" u="none" strike="noStrike" kern="0" cap="none" spc="0" normalizeH="0" baseline="0" noProof="0">
                <a:ln>
                  <a:noFill/>
                </a:ln>
                <a:solidFill>
                  <a:srgbClr val="006600"/>
                </a:solidFill>
                <a:effectLst/>
                <a:uLnTx/>
                <a:uFillTx/>
                <a:latin typeface="Calibri"/>
                <a:ea typeface="+mn-ea"/>
                <a:cs typeface="+mn-cs"/>
              </a:rPr>
              <a:t>UNIVERSIDAD DEL QUINDIO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CO" sz="1100" b="0" i="0" u="none" strike="noStrike" kern="0" cap="none" spc="0" normalizeH="0" baseline="0" noProof="0">
                <a:ln>
                  <a:noFill/>
                </a:ln>
                <a:solidFill>
                  <a:srgbClr val="006600"/>
                </a:solidFill>
                <a:effectLst/>
                <a:uLnTx/>
                <a:uFillTx/>
                <a:latin typeface="Calibri"/>
                <a:ea typeface="+mn-ea"/>
                <a:cs typeface="+mn-cs"/>
              </a:rPr>
              <a:t>Oficina de Asuntos Profesorales</a:t>
            </a:r>
          </a:p>
        </xdr:txBody>
      </xdr:sp>
      <xdr:pic>
        <xdr:nvPicPr>
          <xdr:cNvPr id="5" name="Picture 1" descr="logo de la universidad del quindio">
            <a:extLst>
              <a:ext uri="{FF2B5EF4-FFF2-40B4-BE49-F238E27FC236}">
                <a16:creationId xmlns:a16="http://schemas.microsoft.com/office/drawing/2014/main" id="{23EF9B04-9D13-48EB-B69D-B8D67D6D1C97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lum bright="-30000"/>
          </a:blip>
          <a:srcRect/>
          <a:stretch>
            <a:fillRect/>
          </a:stretch>
        </xdr:blipFill>
        <xdr:spPr bwMode="auto">
          <a:xfrm>
            <a:off x="2907038" y="10105151"/>
            <a:ext cx="464446" cy="537663"/>
          </a:xfrm>
          <a:prstGeom prst="rect">
            <a:avLst/>
          </a:prstGeom>
          <a:ln>
            <a:noFill/>
          </a:ln>
          <a:effectLst>
            <a:outerShdw blurRad="292100" dist="50800" dir="2700000" sx="97000" sy="97000" algn="tl" rotWithShape="0">
              <a:srgbClr val="333333">
                <a:alpha val="50000"/>
              </a:srgbClr>
            </a:outerShdw>
          </a:effectLst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6" name="5 CuadroTexto">
            <a:extLst>
              <a:ext uri="{FF2B5EF4-FFF2-40B4-BE49-F238E27FC236}">
                <a16:creationId xmlns:a16="http://schemas.microsoft.com/office/drawing/2014/main" id="{E3B7B179-6FD1-413D-A033-3131281F59E9}"/>
              </a:ext>
            </a:extLst>
          </xdr:cNvPr>
          <xdr:cNvSpPr txBox="1"/>
        </xdr:nvSpPr>
        <xdr:spPr bwMode="auto">
          <a:xfrm>
            <a:off x="5771371" y="10093766"/>
            <a:ext cx="3390929" cy="598504"/>
          </a:xfrm>
          <a:prstGeom prst="rect">
            <a:avLst/>
          </a:prstGeom>
          <a:solidFill>
            <a:sysClr val="window" lastClr="FFFFFF">
              <a:alpha val="80000"/>
            </a:sysClr>
          </a:solidFill>
          <a:ln w="9525" cmpd="sng">
            <a:noFill/>
          </a:ln>
          <a:effectLst/>
        </xdr:spPr>
        <xdr:txBody>
          <a:bodyPr vertOverflow="clip" horzOverflow="clip" wrap="squar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CO" sz="1200" b="1" i="0" u="none" strike="noStrike" kern="0" cap="none" spc="0" normalizeH="0" baseline="0" noProof="0">
                <a:ln>
                  <a:noFill/>
                </a:ln>
                <a:solidFill>
                  <a:srgbClr val="006600"/>
                </a:solidFill>
                <a:effectLst/>
                <a:uLnTx/>
                <a:uFillTx/>
                <a:latin typeface="Calibri"/>
                <a:ea typeface="+mn-ea"/>
                <a:cs typeface="+mn-cs"/>
              </a:rPr>
              <a:t>Base de Datos Cod: DOC_02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CO" sz="1200" b="1" i="0" u="none" strike="noStrike" kern="0" cap="none" spc="0" normalizeH="0" baseline="0" noProof="0">
                <a:ln>
                  <a:noFill/>
                </a:ln>
                <a:solidFill>
                  <a:srgbClr val="006600"/>
                </a:solidFill>
                <a:effectLst/>
                <a:uLnTx/>
                <a:uFillTx/>
                <a:latin typeface="Calibri"/>
                <a:ea typeface="+mn-ea"/>
                <a:cs typeface="+mn-cs"/>
              </a:rPr>
              <a:t>(PRODUCTIVIDAD PRODUCCIÓN AUDIOVISUAL)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CO" sz="1200" b="1" i="0" u="none" strike="noStrike" kern="0" cap="none" spc="0" normalizeH="0" baseline="0">
                <a:ln>
                  <a:noFill/>
                </a:ln>
                <a:solidFill>
                  <a:srgbClr val="006600"/>
                </a:solidFill>
                <a:effectLst/>
                <a:uLnTx/>
                <a:uFillTx/>
                <a:latin typeface="Calibri"/>
                <a:ea typeface="+mn-ea"/>
                <a:cs typeface="+mn-cs"/>
              </a:rPr>
              <a:t>Cuadro No.4</a:t>
            </a:r>
          </a:p>
        </xdr:txBody>
      </xdr:sp>
      <xdr:grpSp>
        <xdr:nvGrpSpPr>
          <xdr:cNvPr id="7" name="27 Grupo">
            <a:extLst>
              <a:ext uri="{FF2B5EF4-FFF2-40B4-BE49-F238E27FC236}">
                <a16:creationId xmlns:a16="http://schemas.microsoft.com/office/drawing/2014/main" id="{1E3E0758-00BF-4F18-9644-71628D577E4E}"/>
              </a:ext>
            </a:extLst>
          </xdr:cNvPr>
          <xdr:cNvGrpSpPr>
            <a:grpSpLocks/>
          </xdr:cNvGrpSpPr>
        </xdr:nvGrpSpPr>
        <xdr:grpSpPr bwMode="auto">
          <a:xfrm>
            <a:off x="3826429" y="10168218"/>
            <a:ext cx="962406" cy="590550"/>
            <a:chOff x="1991021" y="2705056"/>
            <a:chExt cx="1500859" cy="972913"/>
          </a:xfrm>
        </xdr:grpSpPr>
        <xdr:pic>
          <xdr:nvPicPr>
            <xdr:cNvPr id="8" name="Picture 1" descr="logo de la universidad del quindio">
              <a:extLst>
                <a:ext uri="{FF2B5EF4-FFF2-40B4-BE49-F238E27FC236}">
                  <a16:creationId xmlns:a16="http://schemas.microsoft.com/office/drawing/2014/main" id="{B0ECE4F0-15BD-439B-BF3D-F331070A5F95}"/>
                </a:ext>
              </a:extLst>
            </xdr:cNvPr>
            <xdr:cNvPicPr>
              <a:picLocks noChangeAspect="1" noChangeArrowheads="1"/>
            </xdr:cNvPicPr>
          </xdr:nvPicPr>
          <xdr:blipFill rotWithShape="1">
            <a:blip xmlns:r="http://schemas.openxmlformats.org/officeDocument/2006/relationships" r:embed="rId3" cstate="print">
              <a:duotone>
                <a:srgbClr val="9BBB59">
                  <a:shade val="45000"/>
                  <a:satMod val="135000"/>
                </a:srgbClr>
                <a:prstClr val="white"/>
              </a:duotone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b="22568"/>
            <a:stretch/>
          </xdr:blipFill>
          <xdr:spPr bwMode="auto">
            <a:xfrm>
              <a:off x="1991021" y="2705056"/>
              <a:ext cx="407588" cy="352423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9" name="Picture 1" descr="logo de la universidad del quindio">
              <a:extLst>
                <a:ext uri="{FF2B5EF4-FFF2-40B4-BE49-F238E27FC236}">
                  <a16:creationId xmlns:a16="http://schemas.microsoft.com/office/drawing/2014/main" id="{C2D50E72-C075-4994-9818-313E11535AB8}"/>
                </a:ext>
              </a:extLst>
            </xdr:cNvPr>
            <xdr:cNvPicPr>
              <a:picLocks noChangeAspect="1" noChangeArrowheads="1"/>
            </xdr:cNvPicPr>
          </xdr:nvPicPr>
          <xdr:blipFill rotWithShape="1">
            <a:blip xmlns:r="http://schemas.openxmlformats.org/officeDocument/2006/relationships" r:embed="rId4" cstate="print">
              <a:duotone>
                <a:srgbClr val="EEECE1">
                  <a:shade val="45000"/>
                  <a:satMod val="135000"/>
                </a:srgbClr>
                <a:prstClr val="white"/>
              </a:duotone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b="22568"/>
            <a:stretch/>
          </xdr:blipFill>
          <xdr:spPr bwMode="auto">
            <a:xfrm>
              <a:off x="2484039" y="2899048"/>
              <a:ext cx="275320" cy="238056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0" name="Picture 1" descr="logo de la universidad del quindio">
              <a:extLst>
                <a:ext uri="{FF2B5EF4-FFF2-40B4-BE49-F238E27FC236}">
                  <a16:creationId xmlns:a16="http://schemas.microsoft.com/office/drawing/2014/main" id="{22313B6E-3EFD-46AD-927F-DB145A8BF6D4}"/>
                </a:ext>
              </a:extLst>
            </xdr:cNvPr>
            <xdr:cNvPicPr>
              <a:picLocks noChangeAspect="1" noChangeArrowheads="1"/>
            </xdr:cNvPicPr>
          </xdr:nvPicPr>
          <xdr:blipFill rotWithShape="1">
            <a:blip xmlns:r="http://schemas.openxmlformats.org/officeDocument/2006/relationships" r:embed="rId5" cstate="print">
              <a:duotone>
                <a:srgbClr val="4F81BD">
                  <a:shade val="45000"/>
                  <a:satMod val="135000"/>
                </a:srgbClr>
                <a:prstClr val="white"/>
              </a:duotone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b="22568"/>
            <a:stretch/>
          </xdr:blipFill>
          <xdr:spPr bwMode="auto">
            <a:xfrm>
              <a:off x="2145307" y="3511146"/>
              <a:ext cx="192936" cy="166823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1" name="Picture 1" descr="logo de la universidad del quindio">
              <a:extLst>
                <a:ext uri="{FF2B5EF4-FFF2-40B4-BE49-F238E27FC236}">
                  <a16:creationId xmlns:a16="http://schemas.microsoft.com/office/drawing/2014/main" id="{99013DED-7810-4D3D-941A-EEEF48D50142}"/>
                </a:ext>
              </a:extLst>
            </xdr:cNvPr>
            <xdr:cNvPicPr>
              <a:picLocks noChangeAspect="1" noChangeArrowheads="1"/>
            </xdr:cNvPicPr>
          </xdr:nvPicPr>
          <xdr:blipFill rotWithShape="1">
            <a:blip xmlns:r="http://schemas.openxmlformats.org/officeDocument/2006/relationships" r:embed="rId6" cstate="print">
              <a:duotone>
                <a:srgbClr val="8064A2">
                  <a:shade val="45000"/>
                  <a:satMod val="135000"/>
                </a:srgbClr>
                <a:prstClr val="white"/>
              </a:duotone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b="22568"/>
            <a:stretch/>
          </xdr:blipFill>
          <xdr:spPr bwMode="auto">
            <a:xfrm>
              <a:off x="2627784" y="3175177"/>
              <a:ext cx="153371" cy="132613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2" name="Picture 1" descr="logo de la universidad del quindio">
              <a:extLst>
                <a:ext uri="{FF2B5EF4-FFF2-40B4-BE49-F238E27FC236}">
                  <a16:creationId xmlns:a16="http://schemas.microsoft.com/office/drawing/2014/main" id="{D9FBE51F-00F1-451B-B109-077795AF2F19}"/>
                </a:ext>
              </a:extLst>
            </xdr:cNvPr>
            <xdr:cNvPicPr>
              <a:picLocks noChangeAspect="1" noChangeArrowheads="1"/>
            </xdr:cNvPicPr>
          </xdr:nvPicPr>
          <xdr:blipFill rotWithShape="1">
            <a:blip xmlns:r="http://schemas.openxmlformats.org/officeDocument/2006/relationships" r:embed="rId7" cstate="print">
              <a:duotone>
                <a:srgbClr val="F79646">
                  <a:shade val="45000"/>
                  <a:satMod val="135000"/>
                </a:srgbClr>
                <a:prstClr val="white"/>
              </a:duotone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b="22568"/>
            <a:stretch/>
          </xdr:blipFill>
          <xdr:spPr bwMode="auto">
            <a:xfrm>
              <a:off x="2195737" y="3141742"/>
              <a:ext cx="275319" cy="238056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3" name="Picture 1" descr="logo de la universidad del quindio">
              <a:extLst>
                <a:ext uri="{FF2B5EF4-FFF2-40B4-BE49-F238E27FC236}">
                  <a16:creationId xmlns:a16="http://schemas.microsoft.com/office/drawing/2014/main" id="{95D03D99-46D8-4E18-B90D-67319D97969D}"/>
                </a:ext>
              </a:extLst>
            </xdr:cNvPr>
            <xdr:cNvPicPr>
              <a:picLocks noChangeAspect="1" noChangeArrowheads="1"/>
            </xdr:cNvPicPr>
          </xdr:nvPicPr>
          <xdr:blipFill rotWithShape="1">
            <a:blip xmlns:r="http://schemas.openxmlformats.org/officeDocument/2006/relationships" r:embed="rId8" cstate="print">
              <a:duotone>
                <a:srgbClr val="4F81BD">
                  <a:shade val="45000"/>
                  <a:satMod val="135000"/>
                </a:srgbClr>
                <a:prstClr val="white"/>
              </a:duotone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b="22568"/>
            <a:stretch/>
          </xdr:blipFill>
          <xdr:spPr bwMode="auto">
            <a:xfrm>
              <a:off x="2988957" y="2722391"/>
              <a:ext cx="140183" cy="121211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4" name="Picture 1" descr="logo de la universidad del quindio">
              <a:extLst>
                <a:ext uri="{FF2B5EF4-FFF2-40B4-BE49-F238E27FC236}">
                  <a16:creationId xmlns:a16="http://schemas.microsoft.com/office/drawing/2014/main" id="{042269D2-9692-4E0F-94F1-E6521F7B1643}"/>
                </a:ext>
              </a:extLst>
            </xdr:cNvPr>
            <xdr:cNvPicPr>
              <a:picLocks noChangeAspect="1" noChangeArrowheads="1"/>
            </xdr:cNvPicPr>
          </xdr:nvPicPr>
          <xdr:blipFill rotWithShape="1">
            <a:blip xmlns:r="http://schemas.openxmlformats.org/officeDocument/2006/relationships" r:embed="rId9" cstate="print">
              <a:duotone>
                <a:srgbClr val="EEECE1">
                  <a:shade val="45000"/>
                  <a:satMod val="135000"/>
                </a:srgbClr>
                <a:prstClr val="white"/>
              </a:duotone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b="22568"/>
            <a:stretch/>
          </xdr:blipFill>
          <xdr:spPr bwMode="auto">
            <a:xfrm>
              <a:off x="2483768" y="3368159"/>
              <a:ext cx="180020" cy="155655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5" name="Picture 1" descr="logo de la universidad del quindio">
              <a:extLst>
                <a:ext uri="{FF2B5EF4-FFF2-40B4-BE49-F238E27FC236}">
                  <a16:creationId xmlns:a16="http://schemas.microsoft.com/office/drawing/2014/main" id="{6315070F-51A1-444E-A53C-BB1F145B06D1}"/>
                </a:ext>
              </a:extLst>
            </xdr:cNvPr>
            <xdr:cNvPicPr>
              <a:picLocks noChangeAspect="1" noChangeArrowheads="1"/>
            </xdr:cNvPicPr>
          </xdr:nvPicPr>
          <xdr:blipFill rotWithShape="1">
            <a:blip xmlns:r="http://schemas.openxmlformats.org/officeDocument/2006/relationships" r:embed="rId8" cstate="print">
              <a:duotone>
                <a:srgbClr val="9BBB59">
                  <a:shade val="45000"/>
                  <a:satMod val="135000"/>
                </a:srgbClr>
                <a:prstClr val="white"/>
              </a:duotone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b="22568"/>
            <a:stretch/>
          </xdr:blipFill>
          <xdr:spPr bwMode="auto">
            <a:xfrm>
              <a:off x="2915815" y="2998422"/>
              <a:ext cx="140183" cy="121211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6" name="Picture 1" descr="logo de la universidad del quindio">
              <a:extLst>
                <a:ext uri="{FF2B5EF4-FFF2-40B4-BE49-F238E27FC236}">
                  <a16:creationId xmlns:a16="http://schemas.microsoft.com/office/drawing/2014/main" id="{ABD4387C-D70D-4788-A3AD-1FE017712D7B}"/>
                </a:ext>
              </a:extLst>
            </xdr:cNvPr>
            <xdr:cNvPicPr>
              <a:picLocks noChangeAspect="1" noChangeArrowheads="1"/>
            </xdr:cNvPicPr>
          </xdr:nvPicPr>
          <xdr:blipFill rotWithShape="1">
            <a:blip xmlns:r="http://schemas.openxmlformats.org/officeDocument/2006/relationships" r:embed="rId10" cstate="print">
              <a:duotone>
                <a:srgbClr val="8064A2">
                  <a:shade val="45000"/>
                  <a:satMod val="135000"/>
                </a:srgbClr>
                <a:prstClr val="white"/>
              </a:duotone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b="22568"/>
            <a:stretch/>
          </xdr:blipFill>
          <xdr:spPr bwMode="auto">
            <a:xfrm>
              <a:off x="2544505" y="2731726"/>
              <a:ext cx="83279" cy="72008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7" name="Picture 1" descr="logo de la universidad del quindio">
              <a:extLst>
                <a:ext uri="{FF2B5EF4-FFF2-40B4-BE49-F238E27FC236}">
                  <a16:creationId xmlns:a16="http://schemas.microsoft.com/office/drawing/2014/main" id="{DA092D95-F4BF-4AEF-9FE9-971C200A7685}"/>
                </a:ext>
              </a:extLst>
            </xdr:cNvPr>
            <xdr:cNvPicPr>
              <a:picLocks noChangeAspect="1" noChangeArrowheads="1"/>
            </xdr:cNvPicPr>
          </xdr:nvPicPr>
          <xdr:blipFill rotWithShape="1">
            <a:blip xmlns:r="http://schemas.openxmlformats.org/officeDocument/2006/relationships" r:embed="rId8" cstate="print">
              <a:duotone>
                <a:srgbClr val="F79646">
                  <a:shade val="45000"/>
                  <a:satMod val="135000"/>
                </a:srgbClr>
                <a:prstClr val="white"/>
              </a:duotone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b="22568"/>
            <a:stretch/>
          </xdr:blipFill>
          <xdr:spPr bwMode="auto">
            <a:xfrm>
              <a:off x="2771800" y="2783681"/>
              <a:ext cx="140183" cy="12121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8" name="Picture 1" descr="logo de la universidad del quindio">
              <a:extLst>
                <a:ext uri="{FF2B5EF4-FFF2-40B4-BE49-F238E27FC236}">
                  <a16:creationId xmlns:a16="http://schemas.microsoft.com/office/drawing/2014/main" id="{EE092AE1-8BBF-4033-B5C7-0AC5368B3E2E}"/>
                </a:ext>
              </a:extLst>
            </xdr:cNvPr>
            <xdr:cNvPicPr>
              <a:picLocks noChangeAspect="1" noChangeArrowheads="1"/>
            </xdr:cNvPicPr>
          </xdr:nvPicPr>
          <xdr:blipFill rotWithShape="1">
            <a:blip xmlns:r="http://schemas.openxmlformats.org/officeDocument/2006/relationships" r:embed="rId10" cstate="print">
              <a:duotone>
                <a:srgbClr val="8064A2">
                  <a:shade val="45000"/>
                  <a:satMod val="135000"/>
                </a:srgbClr>
                <a:prstClr val="white"/>
              </a:duotone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b="22568"/>
            <a:stretch/>
          </xdr:blipFill>
          <xdr:spPr bwMode="auto">
            <a:xfrm>
              <a:off x="3132217" y="2892410"/>
              <a:ext cx="83279" cy="72008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9" name="Picture 1" descr="logo de la universidad del quindio">
              <a:extLst>
                <a:ext uri="{FF2B5EF4-FFF2-40B4-BE49-F238E27FC236}">
                  <a16:creationId xmlns:a16="http://schemas.microsoft.com/office/drawing/2014/main" id="{DB72CF2B-F238-4778-B922-4463EF493C53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0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b="22568"/>
            <a:stretch>
              <a:fillRect/>
            </a:stretch>
          </xdr:blipFill>
          <xdr:spPr bwMode="auto">
            <a:xfrm>
              <a:off x="3408601" y="2876939"/>
              <a:ext cx="83279" cy="72008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</xdr:grpSp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19050</xdr:rowOff>
    </xdr:from>
    <xdr:ext cx="17773650" cy="992981"/>
    <xdr:grpSp>
      <xdr:nvGrpSpPr>
        <xdr:cNvPr id="2" name="Shape 2">
          <a:extLst>
            <a:ext uri="{FF2B5EF4-FFF2-40B4-BE49-F238E27FC236}">
              <a16:creationId xmlns:a16="http://schemas.microsoft.com/office/drawing/2014/main" id="{187817BB-C2C5-4D4F-B4B3-2BACEB6357E6}"/>
            </a:ext>
          </a:extLst>
        </xdr:cNvPr>
        <xdr:cNvGrpSpPr/>
      </xdr:nvGrpSpPr>
      <xdr:grpSpPr>
        <a:xfrm>
          <a:off x="0" y="19050"/>
          <a:ext cx="17773650" cy="992981"/>
          <a:chOff x="0" y="3256125"/>
          <a:chExt cx="10692000" cy="1047750"/>
        </a:xfrm>
      </xdr:grpSpPr>
      <xdr:grpSp>
        <xdr:nvGrpSpPr>
          <xdr:cNvPr id="3" name="Shape 68">
            <a:extLst>
              <a:ext uri="{FF2B5EF4-FFF2-40B4-BE49-F238E27FC236}">
                <a16:creationId xmlns:a16="http://schemas.microsoft.com/office/drawing/2014/main" id="{BAE14D67-D6E5-4F0E-9E56-2DDF57B97C82}"/>
              </a:ext>
            </a:extLst>
          </xdr:cNvPr>
          <xdr:cNvGrpSpPr/>
        </xdr:nvGrpSpPr>
        <xdr:grpSpPr>
          <a:xfrm>
            <a:off x="0" y="3256125"/>
            <a:ext cx="10692000" cy="1047750"/>
            <a:chOff x="0" y="3256125"/>
            <a:chExt cx="10692000" cy="104775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C3A45D1D-BDC5-4E72-A967-16CB6A5A5C9D}"/>
                </a:ext>
              </a:extLst>
            </xdr:cNvPr>
            <xdr:cNvSpPr/>
          </xdr:nvSpPr>
          <xdr:spPr>
            <a:xfrm>
              <a:off x="0" y="3256125"/>
              <a:ext cx="10692000" cy="10477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" name="Shape 69">
              <a:extLst>
                <a:ext uri="{FF2B5EF4-FFF2-40B4-BE49-F238E27FC236}">
                  <a16:creationId xmlns:a16="http://schemas.microsoft.com/office/drawing/2014/main" id="{E9FA3CA6-7C72-49CC-9352-51FACAA367F5}"/>
                </a:ext>
              </a:extLst>
            </xdr:cNvPr>
            <xdr:cNvGrpSpPr/>
          </xdr:nvGrpSpPr>
          <xdr:grpSpPr>
            <a:xfrm>
              <a:off x="0" y="3256129"/>
              <a:ext cx="10692000" cy="1047745"/>
              <a:chOff x="2758685" y="9960764"/>
              <a:chExt cx="9313730" cy="798000"/>
            </a:xfrm>
          </xdr:grpSpPr>
          <xdr:sp macro="" textlink="">
            <xdr:nvSpPr>
              <xdr:cNvPr id="6" name="Shape 70">
                <a:extLst>
                  <a:ext uri="{FF2B5EF4-FFF2-40B4-BE49-F238E27FC236}">
                    <a16:creationId xmlns:a16="http://schemas.microsoft.com/office/drawing/2014/main" id="{D0AE5EC8-12EC-4AA3-B7B7-A02B4B68EFCB}"/>
                  </a:ext>
                </a:extLst>
              </xdr:cNvPr>
              <xdr:cNvSpPr/>
            </xdr:nvSpPr>
            <xdr:spPr>
              <a:xfrm>
                <a:off x="2758685" y="9960764"/>
                <a:ext cx="9313725" cy="798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pic>
            <xdr:nvPicPr>
              <xdr:cNvPr id="7" name="Shape 71">
                <a:extLst>
                  <a:ext uri="{FF2B5EF4-FFF2-40B4-BE49-F238E27FC236}">
                    <a16:creationId xmlns:a16="http://schemas.microsoft.com/office/drawing/2014/main" id="{B0D62449-C305-4250-9243-76759ABFE329}"/>
                  </a:ext>
                </a:extLst>
              </xdr:cNvPr>
              <xdr:cNvPicPr preferRelativeResize="0"/>
            </xdr:nvPicPr>
            <xdr:blipFill rotWithShape="1">
              <a:blip xmlns:r="http://schemas.openxmlformats.org/officeDocument/2006/relationships" r:embed="rId1">
                <a:alphaModFix/>
              </a:blip>
              <a:srcRect l="24940" t="25335" r="15240" b="14765"/>
              <a:stretch/>
            </xdr:blipFill>
            <xdr:spPr>
              <a:xfrm>
                <a:off x="2758685" y="9998515"/>
                <a:ext cx="9310047" cy="627252"/>
              </a:xfrm>
              <a:prstGeom prst="rect">
                <a:avLst/>
              </a:prstGeom>
              <a:noFill/>
              <a:ln>
                <a:noFill/>
              </a:ln>
            </xdr:spPr>
          </xdr:pic>
          <xdr:sp macro="" textlink="">
            <xdr:nvSpPr>
              <xdr:cNvPr id="8" name="Shape 72">
                <a:extLst>
                  <a:ext uri="{FF2B5EF4-FFF2-40B4-BE49-F238E27FC236}">
                    <a16:creationId xmlns:a16="http://schemas.microsoft.com/office/drawing/2014/main" id="{AF1A75CB-F92F-450A-8C47-037BEE305093}"/>
                  </a:ext>
                </a:extLst>
              </xdr:cNvPr>
              <xdr:cNvSpPr txBox="1"/>
            </xdr:nvSpPr>
            <xdr:spPr>
              <a:xfrm>
                <a:off x="9393247" y="9960764"/>
                <a:ext cx="2679168" cy="695399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marR="0" lvl="0" indent="0" algn="ctr" rtl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>
                    <a:srgbClr val="006600"/>
                  </a:buClr>
                  <a:buSzPts val="1600"/>
                  <a:buFont typeface="Calibri"/>
                  <a:buNone/>
                </a:pPr>
                <a:r>
                  <a:rPr lang="en-US" sz="1600" b="1" i="0" u="none" strike="noStrike" cap="none">
                    <a:solidFill>
                      <a:srgbClr val="006600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UNIVERSIDAD DEL QUINDIO</a:t>
                </a:r>
                <a:endParaRPr sz="1400"/>
              </a:p>
              <a:p>
                <a:pPr marL="0" marR="0" lvl="0" indent="0" algn="ctr" rtl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>
                    <a:srgbClr val="006600"/>
                  </a:buClr>
                  <a:buSzPts val="1100"/>
                  <a:buFont typeface="Calibri"/>
                  <a:buNone/>
                </a:pPr>
                <a:r>
                  <a:rPr lang="es-CO" sz="1100" b="0" i="0" u="none" strike="noStrike" cap="none">
                    <a:solidFill>
                      <a:srgbClr val="006600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Oficina de Asuntos Profesorales</a:t>
                </a:r>
                <a:endParaRPr sz="1400"/>
              </a:p>
            </xdr:txBody>
          </xdr:sp>
          <xdr:pic>
            <xdr:nvPicPr>
              <xdr:cNvPr id="9" name="Shape 73" descr="logo de la universidad del quindio">
                <a:extLst>
                  <a:ext uri="{FF2B5EF4-FFF2-40B4-BE49-F238E27FC236}">
                    <a16:creationId xmlns:a16="http://schemas.microsoft.com/office/drawing/2014/main" id="{52B24308-85D5-4128-8027-59D8145A97BF}"/>
                  </a:ext>
                </a:extLst>
              </xdr:cNvPr>
              <xdr:cNvPicPr preferRelativeResize="0"/>
            </xdr:nvPicPr>
            <xdr:blipFill rotWithShape="1">
              <a:blip xmlns:r="http://schemas.openxmlformats.org/officeDocument/2006/relationships" r:embed="rId2">
                <a:alphaModFix/>
              </a:blip>
              <a:srcRect/>
              <a:stretch/>
            </xdr:blipFill>
            <xdr:spPr>
              <a:xfrm>
                <a:off x="2907038" y="10105151"/>
                <a:ext cx="464446" cy="537663"/>
              </a:xfrm>
              <a:prstGeom prst="rect">
                <a:avLst/>
              </a:prstGeom>
              <a:noFill/>
              <a:ln>
                <a:noFill/>
              </a:ln>
              <a:effectLst>
                <a:outerShdw blurRad="292100" dist="50800" dir="2700000" sx="97000" sy="97000" algn="tl" rotWithShape="0">
                  <a:srgbClr val="333333">
                    <a:alpha val="49411"/>
                  </a:srgbClr>
                </a:outerShdw>
              </a:effectLst>
            </xdr:spPr>
          </xdr:pic>
          <xdr:sp macro="" textlink="">
            <xdr:nvSpPr>
              <xdr:cNvPr id="10" name="Shape 74">
                <a:extLst>
                  <a:ext uri="{FF2B5EF4-FFF2-40B4-BE49-F238E27FC236}">
                    <a16:creationId xmlns:a16="http://schemas.microsoft.com/office/drawing/2014/main" id="{C0850A97-698B-4AFA-8B35-6B275D270C9E}"/>
                  </a:ext>
                </a:extLst>
              </xdr:cNvPr>
              <xdr:cNvSpPr txBox="1"/>
            </xdr:nvSpPr>
            <xdr:spPr>
              <a:xfrm>
                <a:off x="5332600" y="10058297"/>
                <a:ext cx="3390929" cy="540870"/>
              </a:xfrm>
              <a:prstGeom prst="rect">
                <a:avLst/>
              </a:prstGeom>
              <a:solidFill>
                <a:schemeClr val="bg1">
                  <a:alpha val="50000"/>
                </a:schemeClr>
              </a:solidFill>
              <a:ln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lt1"/>
              </a:fontRef>
            </xdr:style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marR="0" lvl="0" indent="0" algn="ctr" rtl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>
                    <a:srgbClr val="006600"/>
                  </a:buClr>
                  <a:buSzPts val="1000"/>
                  <a:buFont typeface="Calibri"/>
                  <a:buNone/>
                </a:pPr>
                <a:r>
                  <a:rPr lang="en-US" sz="1200" b="1" i="0" u="none" strike="noStrike" cap="none">
                    <a:solidFill>
                      <a:srgbClr val="006600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Base de Datos Cod: DOC_02</a:t>
                </a:r>
                <a:endParaRPr sz="1200"/>
              </a:p>
              <a:p>
                <a:pPr marL="0" marR="0" lvl="0" indent="0" algn="ctr" rtl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>
                    <a:srgbClr val="006600"/>
                  </a:buClr>
                  <a:buSzPts val="1000"/>
                  <a:buFont typeface="Calibri"/>
                  <a:buNone/>
                </a:pPr>
                <a:r>
                  <a:rPr lang="en-US" sz="1200" b="1" i="0" u="none" strike="noStrike" cap="none">
                    <a:solidFill>
                      <a:srgbClr val="006600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(PRODUCTIVIDAD LIBROS PRODUCTO DE INVESTIGACIÓN)</a:t>
                </a:r>
              </a:p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>
                    <a:srgbClr val="006600"/>
                  </a:buClr>
                  <a:buSzPts val="1000"/>
                  <a:buFont typeface="Calibri"/>
                  <a:buNone/>
                  <a:tabLst/>
                  <a:defRPr/>
                </a:pPr>
                <a:r>
                  <a:rPr lang="es-CO" sz="1200" b="1" i="0" u="none" strike="noStrike" cap="none">
                    <a:solidFill>
                      <a:srgbClr val="006600"/>
                    </a:solidFill>
                    <a:latin typeface="Calibri"/>
                    <a:ea typeface="Calibri"/>
                    <a:cs typeface="Calibri"/>
                  </a:rPr>
                  <a:t>Cuadro No.2</a:t>
                </a:r>
                <a:endParaRPr sz="1200"/>
              </a:p>
            </xdr:txBody>
          </xdr:sp>
          <xdr:grpSp>
            <xdr:nvGrpSpPr>
              <xdr:cNvPr id="11" name="Shape 75">
                <a:extLst>
                  <a:ext uri="{FF2B5EF4-FFF2-40B4-BE49-F238E27FC236}">
                    <a16:creationId xmlns:a16="http://schemas.microsoft.com/office/drawing/2014/main" id="{62443E3D-EB9E-4FC5-8396-839FBF1F0B19}"/>
                  </a:ext>
                </a:extLst>
              </xdr:cNvPr>
              <xdr:cNvGrpSpPr/>
            </xdr:nvGrpSpPr>
            <xdr:grpSpPr>
              <a:xfrm>
                <a:off x="3761141" y="10168217"/>
                <a:ext cx="1027694" cy="496979"/>
                <a:chOff x="1889205" y="2705056"/>
                <a:chExt cx="1602675" cy="818758"/>
              </a:xfrm>
            </xdr:grpSpPr>
            <xdr:pic>
              <xdr:nvPicPr>
                <xdr:cNvPr id="12" name="Shape 76" descr="logo de la universidad del quindio">
                  <a:extLst>
                    <a:ext uri="{FF2B5EF4-FFF2-40B4-BE49-F238E27FC236}">
                      <a16:creationId xmlns:a16="http://schemas.microsoft.com/office/drawing/2014/main" id="{4D21B573-15A5-4519-B5EA-0E733F6A3BEB}"/>
                    </a:ext>
                  </a:extLst>
                </xdr:cNvPr>
                <xdr:cNvPicPr preferRelativeResize="0"/>
              </xdr:nvPicPr>
              <xdr:blipFill rotWithShape="1">
                <a:blip xmlns:r="http://schemas.openxmlformats.org/officeDocument/2006/relationships" r:embed="rId3">
                  <a:alphaModFix/>
                </a:blip>
                <a:srcRect b="22568"/>
                <a:stretch/>
              </xdr:blipFill>
              <xdr:spPr>
                <a:xfrm>
                  <a:off x="1991021" y="2705056"/>
                  <a:ext cx="407588" cy="352423"/>
                </a:xfrm>
                <a:prstGeom prst="rect">
                  <a:avLst/>
                </a:prstGeom>
                <a:noFill/>
                <a:ln>
                  <a:noFill/>
                </a:ln>
              </xdr:spPr>
            </xdr:pic>
            <xdr:pic>
              <xdr:nvPicPr>
                <xdr:cNvPr id="13" name="Shape 77" descr="logo de la universidad del quindio">
                  <a:extLst>
                    <a:ext uri="{FF2B5EF4-FFF2-40B4-BE49-F238E27FC236}">
                      <a16:creationId xmlns:a16="http://schemas.microsoft.com/office/drawing/2014/main" id="{14D9F106-08E5-4AE1-AF44-970D9C7F26E4}"/>
                    </a:ext>
                  </a:extLst>
                </xdr:cNvPr>
                <xdr:cNvPicPr preferRelativeResize="0"/>
              </xdr:nvPicPr>
              <xdr:blipFill rotWithShape="1">
                <a:blip xmlns:r="http://schemas.openxmlformats.org/officeDocument/2006/relationships" r:embed="rId4">
                  <a:alphaModFix/>
                </a:blip>
                <a:srcRect b="22568"/>
                <a:stretch/>
              </xdr:blipFill>
              <xdr:spPr>
                <a:xfrm>
                  <a:off x="2484039" y="2899048"/>
                  <a:ext cx="275320" cy="238056"/>
                </a:xfrm>
                <a:prstGeom prst="rect">
                  <a:avLst/>
                </a:prstGeom>
                <a:noFill/>
                <a:ln>
                  <a:noFill/>
                </a:ln>
              </xdr:spPr>
            </xdr:pic>
            <xdr:pic>
              <xdr:nvPicPr>
                <xdr:cNvPr id="14" name="Shape 78" descr="logo de la universidad del quindio">
                  <a:extLst>
                    <a:ext uri="{FF2B5EF4-FFF2-40B4-BE49-F238E27FC236}">
                      <a16:creationId xmlns:a16="http://schemas.microsoft.com/office/drawing/2014/main" id="{44006897-52F3-49A8-925C-42F9C1BA751C}"/>
                    </a:ext>
                  </a:extLst>
                </xdr:cNvPr>
                <xdr:cNvPicPr preferRelativeResize="0"/>
              </xdr:nvPicPr>
              <xdr:blipFill rotWithShape="1">
                <a:blip xmlns:r="http://schemas.openxmlformats.org/officeDocument/2006/relationships" r:embed="rId5">
                  <a:alphaModFix/>
                </a:blip>
                <a:srcRect b="22568"/>
                <a:stretch/>
              </xdr:blipFill>
              <xdr:spPr>
                <a:xfrm>
                  <a:off x="1889205" y="3189777"/>
                  <a:ext cx="192936" cy="166823"/>
                </a:xfrm>
                <a:prstGeom prst="rect">
                  <a:avLst/>
                </a:prstGeom>
                <a:noFill/>
                <a:ln>
                  <a:noFill/>
                </a:ln>
              </xdr:spPr>
            </xdr:pic>
            <xdr:pic>
              <xdr:nvPicPr>
                <xdr:cNvPr id="15" name="Shape 79" descr="logo de la universidad del quindio">
                  <a:extLst>
                    <a:ext uri="{FF2B5EF4-FFF2-40B4-BE49-F238E27FC236}">
                      <a16:creationId xmlns:a16="http://schemas.microsoft.com/office/drawing/2014/main" id="{2F988E8B-3127-41BD-92B8-E079D44C3096}"/>
                    </a:ext>
                  </a:extLst>
                </xdr:cNvPr>
                <xdr:cNvPicPr preferRelativeResize="0"/>
              </xdr:nvPicPr>
              <xdr:blipFill rotWithShape="1">
                <a:blip xmlns:r="http://schemas.openxmlformats.org/officeDocument/2006/relationships" r:embed="rId6">
                  <a:alphaModFix/>
                </a:blip>
                <a:srcRect b="22568"/>
                <a:stretch/>
              </xdr:blipFill>
              <xdr:spPr>
                <a:xfrm>
                  <a:off x="2627784" y="3175177"/>
                  <a:ext cx="153371" cy="132613"/>
                </a:xfrm>
                <a:prstGeom prst="rect">
                  <a:avLst/>
                </a:prstGeom>
                <a:noFill/>
                <a:ln>
                  <a:noFill/>
                </a:ln>
              </xdr:spPr>
            </xdr:pic>
            <xdr:pic>
              <xdr:nvPicPr>
                <xdr:cNvPr id="16" name="Shape 80" descr="logo de la universidad del quindio">
                  <a:extLst>
                    <a:ext uri="{FF2B5EF4-FFF2-40B4-BE49-F238E27FC236}">
                      <a16:creationId xmlns:a16="http://schemas.microsoft.com/office/drawing/2014/main" id="{2EACC9FD-7D7E-4E17-80E8-9E6560341D2C}"/>
                    </a:ext>
                  </a:extLst>
                </xdr:cNvPr>
                <xdr:cNvPicPr preferRelativeResize="0"/>
              </xdr:nvPicPr>
              <xdr:blipFill rotWithShape="1">
                <a:blip xmlns:r="http://schemas.openxmlformats.org/officeDocument/2006/relationships" r:embed="rId7">
                  <a:alphaModFix/>
                </a:blip>
                <a:srcRect b="22568"/>
                <a:stretch/>
              </xdr:blipFill>
              <xdr:spPr>
                <a:xfrm>
                  <a:off x="2195737" y="3141742"/>
                  <a:ext cx="275319" cy="238056"/>
                </a:xfrm>
                <a:prstGeom prst="rect">
                  <a:avLst/>
                </a:prstGeom>
                <a:noFill/>
                <a:ln>
                  <a:noFill/>
                </a:ln>
              </xdr:spPr>
            </xdr:pic>
            <xdr:pic>
              <xdr:nvPicPr>
                <xdr:cNvPr id="17" name="Shape 81" descr="logo de la universidad del quindio">
                  <a:extLst>
                    <a:ext uri="{FF2B5EF4-FFF2-40B4-BE49-F238E27FC236}">
                      <a16:creationId xmlns:a16="http://schemas.microsoft.com/office/drawing/2014/main" id="{2B844470-E569-43CB-A4AB-55CAC3AF3451}"/>
                    </a:ext>
                  </a:extLst>
                </xdr:cNvPr>
                <xdr:cNvPicPr preferRelativeResize="0"/>
              </xdr:nvPicPr>
              <xdr:blipFill rotWithShape="1">
                <a:blip xmlns:r="http://schemas.openxmlformats.org/officeDocument/2006/relationships" r:embed="rId8">
                  <a:alphaModFix/>
                </a:blip>
                <a:srcRect b="22568"/>
                <a:stretch/>
              </xdr:blipFill>
              <xdr:spPr>
                <a:xfrm>
                  <a:off x="2988957" y="2722391"/>
                  <a:ext cx="140183" cy="121211"/>
                </a:xfrm>
                <a:prstGeom prst="rect">
                  <a:avLst/>
                </a:prstGeom>
                <a:noFill/>
                <a:ln>
                  <a:noFill/>
                </a:ln>
              </xdr:spPr>
            </xdr:pic>
            <xdr:pic>
              <xdr:nvPicPr>
                <xdr:cNvPr id="18" name="Shape 82" descr="logo de la universidad del quindio">
                  <a:extLst>
                    <a:ext uri="{FF2B5EF4-FFF2-40B4-BE49-F238E27FC236}">
                      <a16:creationId xmlns:a16="http://schemas.microsoft.com/office/drawing/2014/main" id="{931A0440-7E6F-4274-846C-2C2E28D218BA}"/>
                    </a:ext>
                  </a:extLst>
                </xdr:cNvPr>
                <xdr:cNvPicPr preferRelativeResize="0"/>
              </xdr:nvPicPr>
              <xdr:blipFill rotWithShape="1">
                <a:blip xmlns:r="http://schemas.openxmlformats.org/officeDocument/2006/relationships" r:embed="rId9">
                  <a:alphaModFix/>
                </a:blip>
                <a:srcRect b="22568"/>
                <a:stretch/>
              </xdr:blipFill>
              <xdr:spPr>
                <a:xfrm>
                  <a:off x="2483768" y="3368159"/>
                  <a:ext cx="180020" cy="155655"/>
                </a:xfrm>
                <a:prstGeom prst="rect">
                  <a:avLst/>
                </a:prstGeom>
                <a:noFill/>
                <a:ln>
                  <a:noFill/>
                </a:ln>
              </xdr:spPr>
            </xdr:pic>
            <xdr:pic>
              <xdr:nvPicPr>
                <xdr:cNvPr id="19" name="Shape 83" descr="logo de la universidad del quindio">
                  <a:extLst>
                    <a:ext uri="{FF2B5EF4-FFF2-40B4-BE49-F238E27FC236}">
                      <a16:creationId xmlns:a16="http://schemas.microsoft.com/office/drawing/2014/main" id="{22AB6887-860B-41F3-961F-EB57BF68A320}"/>
                    </a:ext>
                  </a:extLst>
                </xdr:cNvPr>
                <xdr:cNvPicPr preferRelativeResize="0"/>
              </xdr:nvPicPr>
              <xdr:blipFill rotWithShape="1">
                <a:blip xmlns:r="http://schemas.openxmlformats.org/officeDocument/2006/relationships" r:embed="rId10">
                  <a:alphaModFix/>
                </a:blip>
                <a:srcRect b="22568"/>
                <a:stretch/>
              </xdr:blipFill>
              <xdr:spPr>
                <a:xfrm>
                  <a:off x="2915815" y="2998422"/>
                  <a:ext cx="140183" cy="121211"/>
                </a:xfrm>
                <a:prstGeom prst="rect">
                  <a:avLst/>
                </a:prstGeom>
                <a:noFill/>
                <a:ln>
                  <a:noFill/>
                </a:ln>
              </xdr:spPr>
            </xdr:pic>
            <xdr:pic>
              <xdr:nvPicPr>
                <xdr:cNvPr id="20" name="Shape 84" descr="logo de la universidad del quindio">
                  <a:extLst>
                    <a:ext uri="{FF2B5EF4-FFF2-40B4-BE49-F238E27FC236}">
                      <a16:creationId xmlns:a16="http://schemas.microsoft.com/office/drawing/2014/main" id="{CFDFBC7A-9112-4D03-9AB6-06A3275DA7C2}"/>
                    </a:ext>
                  </a:extLst>
                </xdr:cNvPr>
                <xdr:cNvPicPr preferRelativeResize="0"/>
              </xdr:nvPicPr>
              <xdr:blipFill rotWithShape="1">
                <a:blip xmlns:r="http://schemas.openxmlformats.org/officeDocument/2006/relationships" r:embed="rId11">
                  <a:alphaModFix/>
                </a:blip>
                <a:srcRect b="22568"/>
                <a:stretch/>
              </xdr:blipFill>
              <xdr:spPr>
                <a:xfrm>
                  <a:off x="2544505" y="2731726"/>
                  <a:ext cx="83279" cy="72008"/>
                </a:xfrm>
                <a:prstGeom prst="rect">
                  <a:avLst/>
                </a:prstGeom>
                <a:noFill/>
                <a:ln>
                  <a:noFill/>
                </a:ln>
              </xdr:spPr>
            </xdr:pic>
            <xdr:pic>
              <xdr:nvPicPr>
                <xdr:cNvPr id="21" name="Shape 85" descr="logo de la universidad del quindio">
                  <a:extLst>
                    <a:ext uri="{FF2B5EF4-FFF2-40B4-BE49-F238E27FC236}">
                      <a16:creationId xmlns:a16="http://schemas.microsoft.com/office/drawing/2014/main" id="{A8E5D05A-C634-4047-A1C2-3E9018503944}"/>
                    </a:ext>
                  </a:extLst>
                </xdr:cNvPr>
                <xdr:cNvPicPr preferRelativeResize="0"/>
              </xdr:nvPicPr>
              <xdr:blipFill rotWithShape="1">
                <a:blip xmlns:r="http://schemas.openxmlformats.org/officeDocument/2006/relationships" r:embed="rId12">
                  <a:alphaModFix/>
                </a:blip>
                <a:srcRect b="22568"/>
                <a:stretch/>
              </xdr:blipFill>
              <xdr:spPr>
                <a:xfrm>
                  <a:off x="2771800" y="2783681"/>
                  <a:ext cx="140183" cy="121210"/>
                </a:xfrm>
                <a:prstGeom prst="rect">
                  <a:avLst/>
                </a:prstGeom>
                <a:noFill/>
                <a:ln>
                  <a:noFill/>
                </a:ln>
              </xdr:spPr>
            </xdr:pic>
            <xdr:pic>
              <xdr:nvPicPr>
                <xdr:cNvPr id="22" name="Shape 86" descr="logo de la universidad del quindio">
                  <a:extLst>
                    <a:ext uri="{FF2B5EF4-FFF2-40B4-BE49-F238E27FC236}">
                      <a16:creationId xmlns:a16="http://schemas.microsoft.com/office/drawing/2014/main" id="{366E3669-F164-495E-A02A-FABC7C56E084}"/>
                    </a:ext>
                  </a:extLst>
                </xdr:cNvPr>
                <xdr:cNvPicPr preferRelativeResize="0"/>
              </xdr:nvPicPr>
              <xdr:blipFill rotWithShape="1">
                <a:blip xmlns:r="http://schemas.openxmlformats.org/officeDocument/2006/relationships" r:embed="rId11">
                  <a:alphaModFix/>
                </a:blip>
                <a:srcRect b="22568"/>
                <a:stretch/>
              </xdr:blipFill>
              <xdr:spPr>
                <a:xfrm>
                  <a:off x="3132217" y="2892410"/>
                  <a:ext cx="83279" cy="72008"/>
                </a:xfrm>
                <a:prstGeom prst="rect">
                  <a:avLst/>
                </a:prstGeom>
                <a:noFill/>
                <a:ln>
                  <a:noFill/>
                </a:ln>
              </xdr:spPr>
            </xdr:pic>
            <xdr:pic>
              <xdr:nvPicPr>
                <xdr:cNvPr id="23" name="Shape 87" descr="logo de la universidad del quindio">
                  <a:extLst>
                    <a:ext uri="{FF2B5EF4-FFF2-40B4-BE49-F238E27FC236}">
                      <a16:creationId xmlns:a16="http://schemas.microsoft.com/office/drawing/2014/main" id="{061B7185-390F-4D5A-88AF-DF87D8F51C76}"/>
                    </a:ext>
                  </a:extLst>
                </xdr:cNvPr>
                <xdr:cNvPicPr preferRelativeResize="0"/>
              </xdr:nvPicPr>
              <xdr:blipFill rotWithShape="1">
                <a:blip xmlns:r="http://schemas.openxmlformats.org/officeDocument/2006/relationships" r:embed="rId13">
                  <a:alphaModFix/>
                </a:blip>
                <a:srcRect b="22568"/>
                <a:stretch/>
              </xdr:blipFill>
              <xdr:spPr>
                <a:xfrm>
                  <a:off x="3408601" y="2876939"/>
                  <a:ext cx="83279" cy="72008"/>
                </a:xfrm>
                <a:prstGeom prst="rect">
                  <a:avLst/>
                </a:prstGeom>
                <a:noFill/>
                <a:ln>
                  <a:noFill/>
                </a:ln>
              </xdr:spPr>
            </xdr:pic>
          </xdr:grpSp>
        </xdr:grpSp>
      </xdr:grpSp>
    </xdr:grpSp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55564</xdr:colOff>
      <xdr:row>0</xdr:row>
      <xdr:rowOff>6194</xdr:rowOff>
    </xdr:from>
    <xdr:to>
      <xdr:col>21</xdr:col>
      <xdr:colOff>1790701</xdr:colOff>
      <xdr:row>1</xdr:row>
      <xdr:rowOff>0</xdr:rowOff>
    </xdr:to>
    <xdr:grpSp>
      <xdr:nvGrpSpPr>
        <xdr:cNvPr id="2" name="1 Grupo">
          <a:extLst>
            <a:ext uri="{FF2B5EF4-FFF2-40B4-BE49-F238E27FC236}">
              <a16:creationId xmlns:a16="http://schemas.microsoft.com/office/drawing/2014/main" id="{3C2FC4B5-E4EA-48CC-9ED4-4E82BE99340A}"/>
            </a:ext>
          </a:extLst>
        </xdr:cNvPr>
        <xdr:cNvGrpSpPr/>
      </xdr:nvGrpSpPr>
      <xdr:grpSpPr>
        <a:xfrm>
          <a:off x="55564" y="6194"/>
          <a:ext cx="16832262" cy="908206"/>
          <a:chOff x="2758685" y="9998515"/>
          <a:chExt cx="9310047" cy="760253"/>
        </a:xfrm>
      </xdr:grpSpPr>
      <xdr:pic>
        <xdr:nvPicPr>
          <xdr:cNvPr id="3" name="3 Imagen">
            <a:extLst>
              <a:ext uri="{FF2B5EF4-FFF2-40B4-BE49-F238E27FC236}">
                <a16:creationId xmlns:a16="http://schemas.microsoft.com/office/drawing/2014/main" id="{EB8BF573-81FA-459E-8A0A-64768F141371}"/>
              </a:ext>
            </a:extLst>
          </xdr:cNvPr>
          <xdr:cNvPicPr preferRelativeResize="0"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4940" t="25337" r="15240" b="14766"/>
          <a:stretch>
            <a:fillRect/>
          </a:stretch>
        </xdr:blipFill>
        <xdr:spPr bwMode="auto">
          <a:xfrm>
            <a:off x="2758685" y="9998515"/>
            <a:ext cx="9310047" cy="71830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4" name="3 CuadroTexto">
            <a:extLst>
              <a:ext uri="{FF2B5EF4-FFF2-40B4-BE49-F238E27FC236}">
                <a16:creationId xmlns:a16="http://schemas.microsoft.com/office/drawing/2014/main" id="{CD666031-41F7-41BA-A010-DD67889A050A}"/>
              </a:ext>
            </a:extLst>
          </xdr:cNvPr>
          <xdr:cNvSpPr txBox="1"/>
        </xdr:nvSpPr>
        <xdr:spPr bwMode="auto">
          <a:xfrm>
            <a:off x="8981564" y="10043752"/>
            <a:ext cx="2989272" cy="695399"/>
          </a:xfrm>
          <a:prstGeom prst="rect">
            <a:avLst/>
          </a:prstGeom>
          <a:noFill/>
          <a:ln w="9525" cmpd="sng">
            <a:noFill/>
          </a:ln>
          <a:effectLst/>
        </xdr:spPr>
        <xdr:txBody>
          <a:bodyPr vertOverflow="clip" horzOverflow="clip" wrap="squar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CO" sz="1600" b="1" i="0" u="none" strike="noStrike" kern="0" cap="none" spc="0" normalizeH="0" baseline="0" noProof="0">
                <a:ln>
                  <a:noFill/>
                </a:ln>
                <a:solidFill>
                  <a:srgbClr val="006600"/>
                </a:solidFill>
                <a:effectLst/>
                <a:uLnTx/>
                <a:uFillTx/>
                <a:latin typeface="Calibri"/>
                <a:ea typeface="+mn-ea"/>
                <a:cs typeface="+mn-cs"/>
              </a:rPr>
              <a:t>UNIVERSIDAD DEL QUINDIO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CO" sz="1100" b="0" i="0" u="none" strike="noStrike" kern="0" cap="none" spc="0" normalizeH="0" baseline="0" noProof="0">
                <a:ln>
                  <a:noFill/>
                </a:ln>
                <a:solidFill>
                  <a:srgbClr val="006600"/>
                </a:solidFill>
                <a:effectLst/>
                <a:uLnTx/>
                <a:uFillTx/>
                <a:latin typeface="Calibri"/>
                <a:ea typeface="+mn-ea"/>
                <a:cs typeface="+mn-cs"/>
              </a:rPr>
              <a:t>Oficina de Asuntos Profesorales</a:t>
            </a:r>
          </a:p>
        </xdr:txBody>
      </xdr:sp>
      <xdr:pic>
        <xdr:nvPicPr>
          <xdr:cNvPr id="5" name="Picture 1" descr="logo de la universidad del quindio">
            <a:extLst>
              <a:ext uri="{FF2B5EF4-FFF2-40B4-BE49-F238E27FC236}">
                <a16:creationId xmlns:a16="http://schemas.microsoft.com/office/drawing/2014/main" id="{1410586B-B55E-403D-B875-55FC2F9B9551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lum bright="-30000"/>
          </a:blip>
          <a:srcRect/>
          <a:stretch>
            <a:fillRect/>
          </a:stretch>
        </xdr:blipFill>
        <xdr:spPr bwMode="auto">
          <a:xfrm>
            <a:off x="2907038" y="10105151"/>
            <a:ext cx="464446" cy="537663"/>
          </a:xfrm>
          <a:prstGeom prst="rect">
            <a:avLst/>
          </a:prstGeom>
          <a:ln>
            <a:noFill/>
          </a:ln>
          <a:effectLst>
            <a:outerShdw blurRad="292100" dist="50800" dir="2700000" sx="97000" sy="97000" algn="tl" rotWithShape="0">
              <a:srgbClr val="333333">
                <a:alpha val="50000"/>
              </a:srgbClr>
            </a:outerShdw>
          </a:effectLst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6" name="5 CuadroTexto">
            <a:extLst>
              <a:ext uri="{FF2B5EF4-FFF2-40B4-BE49-F238E27FC236}">
                <a16:creationId xmlns:a16="http://schemas.microsoft.com/office/drawing/2014/main" id="{7AA07733-236D-4AE3-AF85-B006BCF18D91}"/>
              </a:ext>
            </a:extLst>
          </xdr:cNvPr>
          <xdr:cNvSpPr txBox="1"/>
        </xdr:nvSpPr>
        <xdr:spPr bwMode="auto">
          <a:xfrm>
            <a:off x="5818784" y="10023566"/>
            <a:ext cx="3390929" cy="657726"/>
          </a:xfrm>
          <a:prstGeom prst="rect">
            <a:avLst/>
          </a:prstGeom>
          <a:solidFill>
            <a:sysClr val="window" lastClr="FFFFFF">
              <a:alpha val="80000"/>
            </a:sysClr>
          </a:solidFill>
          <a:ln w="9525" cmpd="sng">
            <a:noFill/>
          </a:ln>
          <a:effectLst/>
        </xdr:spPr>
        <xdr:txBody>
          <a:bodyPr vertOverflow="clip" horzOverflow="clip" wrap="squar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CO" sz="1200" b="1" i="0" u="none" strike="noStrike" kern="0" cap="none" spc="0" normalizeH="0" baseline="0" noProof="0">
                <a:ln>
                  <a:noFill/>
                </a:ln>
                <a:solidFill>
                  <a:srgbClr val="006600"/>
                </a:solidFill>
                <a:effectLst/>
                <a:uLnTx/>
                <a:uFillTx/>
                <a:latin typeface="Calibri"/>
                <a:ea typeface="+mn-ea"/>
                <a:cs typeface="+mn-cs"/>
              </a:rPr>
              <a:t>Base de Datos Cod: DOC_02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CO" sz="1200" b="1" i="0" u="none" strike="noStrike" kern="0" cap="none" spc="0" normalizeH="0" baseline="0" noProof="0">
                <a:ln>
                  <a:noFill/>
                </a:ln>
                <a:solidFill>
                  <a:srgbClr val="006600"/>
                </a:solidFill>
                <a:effectLst/>
                <a:uLnTx/>
                <a:uFillTx/>
                <a:latin typeface="Calibri"/>
                <a:ea typeface="+mn-ea"/>
                <a:cs typeface="+mn-cs"/>
              </a:rPr>
              <a:t>(PRODUCTIVIDAD LIBROS TEXTO)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CO" sz="1200" b="1" i="0" u="none" strike="noStrike" kern="0" cap="none" spc="0" normalizeH="0" baseline="0" noProof="0">
                <a:ln>
                  <a:noFill/>
                </a:ln>
                <a:solidFill>
                  <a:srgbClr val="006600"/>
                </a:solidFill>
                <a:effectLst/>
                <a:uLnTx/>
                <a:uFillTx/>
                <a:latin typeface="Calibri"/>
                <a:ea typeface="+mn-ea"/>
                <a:cs typeface="+mn-cs"/>
              </a:rPr>
              <a:t>Cuadro No.4</a:t>
            </a:r>
          </a:p>
        </xdr:txBody>
      </xdr:sp>
      <xdr:grpSp>
        <xdr:nvGrpSpPr>
          <xdr:cNvPr id="7" name="27 Grupo">
            <a:extLst>
              <a:ext uri="{FF2B5EF4-FFF2-40B4-BE49-F238E27FC236}">
                <a16:creationId xmlns:a16="http://schemas.microsoft.com/office/drawing/2014/main" id="{BD77527F-3201-4951-A95A-A30169213ACC}"/>
              </a:ext>
            </a:extLst>
          </xdr:cNvPr>
          <xdr:cNvGrpSpPr>
            <a:grpSpLocks/>
          </xdr:cNvGrpSpPr>
        </xdr:nvGrpSpPr>
        <xdr:grpSpPr bwMode="auto">
          <a:xfrm>
            <a:off x="3826429" y="10168218"/>
            <a:ext cx="962406" cy="590550"/>
            <a:chOff x="1991021" y="2705056"/>
            <a:chExt cx="1500859" cy="972913"/>
          </a:xfrm>
        </xdr:grpSpPr>
        <xdr:pic>
          <xdr:nvPicPr>
            <xdr:cNvPr id="8" name="Picture 1" descr="logo de la universidad del quindio">
              <a:extLst>
                <a:ext uri="{FF2B5EF4-FFF2-40B4-BE49-F238E27FC236}">
                  <a16:creationId xmlns:a16="http://schemas.microsoft.com/office/drawing/2014/main" id="{4CB93A1F-17E2-4613-8828-EF5CEE7B24A7}"/>
                </a:ext>
              </a:extLst>
            </xdr:cNvPr>
            <xdr:cNvPicPr>
              <a:picLocks noChangeAspect="1" noChangeArrowheads="1"/>
            </xdr:cNvPicPr>
          </xdr:nvPicPr>
          <xdr:blipFill rotWithShape="1">
            <a:blip xmlns:r="http://schemas.openxmlformats.org/officeDocument/2006/relationships" r:embed="rId3" cstate="print">
              <a:duotone>
                <a:srgbClr val="9BBB59">
                  <a:shade val="45000"/>
                  <a:satMod val="135000"/>
                </a:srgbClr>
                <a:prstClr val="white"/>
              </a:duotone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b="22568"/>
            <a:stretch/>
          </xdr:blipFill>
          <xdr:spPr bwMode="auto">
            <a:xfrm>
              <a:off x="1991021" y="2705056"/>
              <a:ext cx="407588" cy="352423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9" name="Picture 1" descr="logo de la universidad del quindio">
              <a:extLst>
                <a:ext uri="{FF2B5EF4-FFF2-40B4-BE49-F238E27FC236}">
                  <a16:creationId xmlns:a16="http://schemas.microsoft.com/office/drawing/2014/main" id="{1ECF0A8B-9E96-4733-889D-3EBE8F6856A3}"/>
                </a:ext>
              </a:extLst>
            </xdr:cNvPr>
            <xdr:cNvPicPr>
              <a:picLocks noChangeAspect="1" noChangeArrowheads="1"/>
            </xdr:cNvPicPr>
          </xdr:nvPicPr>
          <xdr:blipFill rotWithShape="1">
            <a:blip xmlns:r="http://schemas.openxmlformats.org/officeDocument/2006/relationships" r:embed="rId4" cstate="print">
              <a:duotone>
                <a:srgbClr val="EEECE1">
                  <a:shade val="45000"/>
                  <a:satMod val="135000"/>
                </a:srgbClr>
                <a:prstClr val="white"/>
              </a:duotone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b="22568"/>
            <a:stretch/>
          </xdr:blipFill>
          <xdr:spPr bwMode="auto">
            <a:xfrm>
              <a:off x="2484039" y="2899048"/>
              <a:ext cx="275320" cy="238056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0" name="Picture 1" descr="logo de la universidad del quindio">
              <a:extLst>
                <a:ext uri="{FF2B5EF4-FFF2-40B4-BE49-F238E27FC236}">
                  <a16:creationId xmlns:a16="http://schemas.microsoft.com/office/drawing/2014/main" id="{B3BFAFD1-EBBB-46DC-BF73-19624C7C8141}"/>
                </a:ext>
              </a:extLst>
            </xdr:cNvPr>
            <xdr:cNvPicPr>
              <a:picLocks noChangeAspect="1" noChangeArrowheads="1"/>
            </xdr:cNvPicPr>
          </xdr:nvPicPr>
          <xdr:blipFill rotWithShape="1">
            <a:blip xmlns:r="http://schemas.openxmlformats.org/officeDocument/2006/relationships" r:embed="rId5" cstate="print">
              <a:duotone>
                <a:srgbClr val="4F81BD">
                  <a:shade val="45000"/>
                  <a:satMod val="135000"/>
                </a:srgbClr>
                <a:prstClr val="white"/>
              </a:duotone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b="22568"/>
            <a:stretch/>
          </xdr:blipFill>
          <xdr:spPr bwMode="auto">
            <a:xfrm>
              <a:off x="2145307" y="3511146"/>
              <a:ext cx="192936" cy="166823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1" name="Picture 1" descr="logo de la universidad del quindio">
              <a:extLst>
                <a:ext uri="{FF2B5EF4-FFF2-40B4-BE49-F238E27FC236}">
                  <a16:creationId xmlns:a16="http://schemas.microsoft.com/office/drawing/2014/main" id="{21D30D8F-17E6-4B04-B0BC-D12FA494A194}"/>
                </a:ext>
              </a:extLst>
            </xdr:cNvPr>
            <xdr:cNvPicPr>
              <a:picLocks noChangeAspect="1" noChangeArrowheads="1"/>
            </xdr:cNvPicPr>
          </xdr:nvPicPr>
          <xdr:blipFill rotWithShape="1">
            <a:blip xmlns:r="http://schemas.openxmlformats.org/officeDocument/2006/relationships" r:embed="rId6" cstate="print">
              <a:duotone>
                <a:srgbClr val="8064A2">
                  <a:shade val="45000"/>
                  <a:satMod val="135000"/>
                </a:srgbClr>
                <a:prstClr val="white"/>
              </a:duotone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b="22568"/>
            <a:stretch/>
          </xdr:blipFill>
          <xdr:spPr bwMode="auto">
            <a:xfrm>
              <a:off x="2627784" y="3175177"/>
              <a:ext cx="153371" cy="132613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2" name="Picture 1" descr="logo de la universidad del quindio">
              <a:extLst>
                <a:ext uri="{FF2B5EF4-FFF2-40B4-BE49-F238E27FC236}">
                  <a16:creationId xmlns:a16="http://schemas.microsoft.com/office/drawing/2014/main" id="{BDF23D9D-4002-4678-9424-94CF4BAA9DCD}"/>
                </a:ext>
              </a:extLst>
            </xdr:cNvPr>
            <xdr:cNvPicPr>
              <a:picLocks noChangeAspect="1" noChangeArrowheads="1"/>
            </xdr:cNvPicPr>
          </xdr:nvPicPr>
          <xdr:blipFill rotWithShape="1">
            <a:blip xmlns:r="http://schemas.openxmlformats.org/officeDocument/2006/relationships" r:embed="rId7" cstate="print">
              <a:duotone>
                <a:srgbClr val="F79646">
                  <a:shade val="45000"/>
                  <a:satMod val="135000"/>
                </a:srgbClr>
                <a:prstClr val="white"/>
              </a:duotone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b="22568"/>
            <a:stretch/>
          </xdr:blipFill>
          <xdr:spPr bwMode="auto">
            <a:xfrm>
              <a:off x="2195737" y="3141742"/>
              <a:ext cx="275319" cy="238056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3" name="Picture 1" descr="logo de la universidad del quindio">
              <a:extLst>
                <a:ext uri="{FF2B5EF4-FFF2-40B4-BE49-F238E27FC236}">
                  <a16:creationId xmlns:a16="http://schemas.microsoft.com/office/drawing/2014/main" id="{68439CB1-A158-4C6F-B76B-9A4318FC6050}"/>
                </a:ext>
              </a:extLst>
            </xdr:cNvPr>
            <xdr:cNvPicPr>
              <a:picLocks noChangeAspect="1" noChangeArrowheads="1"/>
            </xdr:cNvPicPr>
          </xdr:nvPicPr>
          <xdr:blipFill rotWithShape="1">
            <a:blip xmlns:r="http://schemas.openxmlformats.org/officeDocument/2006/relationships" r:embed="rId8" cstate="print">
              <a:duotone>
                <a:srgbClr val="4F81BD">
                  <a:shade val="45000"/>
                  <a:satMod val="135000"/>
                </a:srgbClr>
                <a:prstClr val="white"/>
              </a:duotone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b="22568"/>
            <a:stretch/>
          </xdr:blipFill>
          <xdr:spPr bwMode="auto">
            <a:xfrm>
              <a:off x="2988957" y="2722391"/>
              <a:ext cx="140183" cy="121211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4" name="Picture 1" descr="logo de la universidad del quindio">
              <a:extLst>
                <a:ext uri="{FF2B5EF4-FFF2-40B4-BE49-F238E27FC236}">
                  <a16:creationId xmlns:a16="http://schemas.microsoft.com/office/drawing/2014/main" id="{29D3542B-4F95-4388-82AA-A689879C7FF5}"/>
                </a:ext>
              </a:extLst>
            </xdr:cNvPr>
            <xdr:cNvPicPr>
              <a:picLocks noChangeAspect="1" noChangeArrowheads="1"/>
            </xdr:cNvPicPr>
          </xdr:nvPicPr>
          <xdr:blipFill rotWithShape="1">
            <a:blip xmlns:r="http://schemas.openxmlformats.org/officeDocument/2006/relationships" r:embed="rId9" cstate="print">
              <a:duotone>
                <a:srgbClr val="EEECE1">
                  <a:shade val="45000"/>
                  <a:satMod val="135000"/>
                </a:srgbClr>
                <a:prstClr val="white"/>
              </a:duotone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b="22568"/>
            <a:stretch/>
          </xdr:blipFill>
          <xdr:spPr bwMode="auto">
            <a:xfrm>
              <a:off x="2483768" y="3368159"/>
              <a:ext cx="180020" cy="155655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5" name="Picture 1" descr="logo de la universidad del quindio">
              <a:extLst>
                <a:ext uri="{FF2B5EF4-FFF2-40B4-BE49-F238E27FC236}">
                  <a16:creationId xmlns:a16="http://schemas.microsoft.com/office/drawing/2014/main" id="{E9CB578C-9949-49C5-A98D-B9FBA8F06BBD}"/>
                </a:ext>
              </a:extLst>
            </xdr:cNvPr>
            <xdr:cNvPicPr>
              <a:picLocks noChangeAspect="1" noChangeArrowheads="1"/>
            </xdr:cNvPicPr>
          </xdr:nvPicPr>
          <xdr:blipFill rotWithShape="1">
            <a:blip xmlns:r="http://schemas.openxmlformats.org/officeDocument/2006/relationships" r:embed="rId8" cstate="print">
              <a:duotone>
                <a:srgbClr val="9BBB59">
                  <a:shade val="45000"/>
                  <a:satMod val="135000"/>
                </a:srgbClr>
                <a:prstClr val="white"/>
              </a:duotone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b="22568"/>
            <a:stretch/>
          </xdr:blipFill>
          <xdr:spPr bwMode="auto">
            <a:xfrm>
              <a:off x="2915815" y="2998422"/>
              <a:ext cx="140183" cy="121211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6" name="Picture 1" descr="logo de la universidad del quindio">
              <a:extLst>
                <a:ext uri="{FF2B5EF4-FFF2-40B4-BE49-F238E27FC236}">
                  <a16:creationId xmlns:a16="http://schemas.microsoft.com/office/drawing/2014/main" id="{D2045304-A643-4313-B786-C1201DA3F4D9}"/>
                </a:ext>
              </a:extLst>
            </xdr:cNvPr>
            <xdr:cNvPicPr>
              <a:picLocks noChangeAspect="1" noChangeArrowheads="1"/>
            </xdr:cNvPicPr>
          </xdr:nvPicPr>
          <xdr:blipFill rotWithShape="1">
            <a:blip xmlns:r="http://schemas.openxmlformats.org/officeDocument/2006/relationships" r:embed="rId10" cstate="print">
              <a:duotone>
                <a:srgbClr val="8064A2">
                  <a:shade val="45000"/>
                  <a:satMod val="135000"/>
                </a:srgbClr>
                <a:prstClr val="white"/>
              </a:duotone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b="22568"/>
            <a:stretch/>
          </xdr:blipFill>
          <xdr:spPr bwMode="auto">
            <a:xfrm>
              <a:off x="2544505" y="2731726"/>
              <a:ext cx="83279" cy="72008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7" name="Picture 1" descr="logo de la universidad del quindio">
              <a:extLst>
                <a:ext uri="{FF2B5EF4-FFF2-40B4-BE49-F238E27FC236}">
                  <a16:creationId xmlns:a16="http://schemas.microsoft.com/office/drawing/2014/main" id="{7BBC875C-1E9D-4A4E-9AD6-2C7AC041AACA}"/>
                </a:ext>
              </a:extLst>
            </xdr:cNvPr>
            <xdr:cNvPicPr>
              <a:picLocks noChangeAspect="1" noChangeArrowheads="1"/>
            </xdr:cNvPicPr>
          </xdr:nvPicPr>
          <xdr:blipFill rotWithShape="1">
            <a:blip xmlns:r="http://schemas.openxmlformats.org/officeDocument/2006/relationships" r:embed="rId8" cstate="print">
              <a:duotone>
                <a:srgbClr val="F79646">
                  <a:shade val="45000"/>
                  <a:satMod val="135000"/>
                </a:srgbClr>
                <a:prstClr val="white"/>
              </a:duotone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b="22568"/>
            <a:stretch/>
          </xdr:blipFill>
          <xdr:spPr bwMode="auto">
            <a:xfrm>
              <a:off x="2771800" y="2783681"/>
              <a:ext cx="140183" cy="12121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8" name="Picture 1" descr="logo de la universidad del quindio">
              <a:extLst>
                <a:ext uri="{FF2B5EF4-FFF2-40B4-BE49-F238E27FC236}">
                  <a16:creationId xmlns:a16="http://schemas.microsoft.com/office/drawing/2014/main" id="{86961BE7-0640-40C7-A8F9-A48A2FFC7D26}"/>
                </a:ext>
              </a:extLst>
            </xdr:cNvPr>
            <xdr:cNvPicPr>
              <a:picLocks noChangeAspect="1" noChangeArrowheads="1"/>
            </xdr:cNvPicPr>
          </xdr:nvPicPr>
          <xdr:blipFill rotWithShape="1">
            <a:blip xmlns:r="http://schemas.openxmlformats.org/officeDocument/2006/relationships" r:embed="rId10" cstate="print">
              <a:duotone>
                <a:srgbClr val="8064A2">
                  <a:shade val="45000"/>
                  <a:satMod val="135000"/>
                </a:srgbClr>
                <a:prstClr val="white"/>
              </a:duotone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b="22568"/>
            <a:stretch/>
          </xdr:blipFill>
          <xdr:spPr bwMode="auto">
            <a:xfrm>
              <a:off x="3132217" y="2892410"/>
              <a:ext cx="83279" cy="72008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9" name="Picture 1" descr="logo de la universidad del quindio">
              <a:extLst>
                <a:ext uri="{FF2B5EF4-FFF2-40B4-BE49-F238E27FC236}">
                  <a16:creationId xmlns:a16="http://schemas.microsoft.com/office/drawing/2014/main" id="{02545916-6FCD-4849-94BB-A567D642E98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0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b="22568"/>
            <a:stretch>
              <a:fillRect/>
            </a:stretch>
          </xdr:blipFill>
          <xdr:spPr bwMode="auto">
            <a:xfrm>
              <a:off x="3408601" y="2876939"/>
              <a:ext cx="83279" cy="72008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</xdr:grpSp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</xdr:colOff>
      <xdr:row>0</xdr:row>
      <xdr:rowOff>0</xdr:rowOff>
    </xdr:from>
    <xdr:to>
      <xdr:col>16</xdr:col>
      <xdr:colOff>2543175</xdr:colOff>
      <xdr:row>1</xdr:row>
      <xdr:rowOff>19050</xdr:rowOff>
    </xdr:to>
    <xdr:grpSp>
      <xdr:nvGrpSpPr>
        <xdr:cNvPr id="2" name="37 Grupo">
          <a:extLst>
            <a:ext uri="{FF2B5EF4-FFF2-40B4-BE49-F238E27FC236}">
              <a16:creationId xmlns:a16="http://schemas.microsoft.com/office/drawing/2014/main" id="{CB91E821-6533-4638-B436-7DE73F99167E}"/>
            </a:ext>
          </a:extLst>
        </xdr:cNvPr>
        <xdr:cNvGrpSpPr/>
      </xdr:nvGrpSpPr>
      <xdr:grpSpPr>
        <a:xfrm>
          <a:off x="66675" y="0"/>
          <a:ext cx="14973300" cy="933450"/>
          <a:chOff x="2758685" y="9960763"/>
          <a:chExt cx="9310047" cy="798005"/>
        </a:xfrm>
      </xdr:grpSpPr>
      <xdr:pic>
        <xdr:nvPicPr>
          <xdr:cNvPr id="3" name="3 Imagen">
            <a:extLst>
              <a:ext uri="{FF2B5EF4-FFF2-40B4-BE49-F238E27FC236}">
                <a16:creationId xmlns:a16="http://schemas.microsoft.com/office/drawing/2014/main" id="{A06BE6FC-4382-4B9A-9133-E8E22C6560B8}"/>
              </a:ext>
            </a:extLst>
          </xdr:cNvPr>
          <xdr:cNvPicPr preferRelativeResize="0"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4940" t="25337" r="15240" b="14766"/>
          <a:stretch>
            <a:fillRect/>
          </a:stretch>
        </xdr:blipFill>
        <xdr:spPr bwMode="auto">
          <a:xfrm>
            <a:off x="2758685" y="9998515"/>
            <a:ext cx="9310047" cy="71830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4" name="39 CuadroTexto">
            <a:extLst>
              <a:ext uri="{FF2B5EF4-FFF2-40B4-BE49-F238E27FC236}">
                <a16:creationId xmlns:a16="http://schemas.microsoft.com/office/drawing/2014/main" id="{DF0E3AF6-C270-400E-A81A-13EE1CAAD7DC}"/>
              </a:ext>
            </a:extLst>
          </xdr:cNvPr>
          <xdr:cNvSpPr txBox="1"/>
        </xdr:nvSpPr>
        <xdr:spPr bwMode="auto">
          <a:xfrm>
            <a:off x="9337735" y="9960763"/>
            <a:ext cx="2679168" cy="695399"/>
          </a:xfrm>
          <a:prstGeom prst="rect">
            <a:avLst/>
          </a:prstGeom>
          <a:noFill/>
          <a:ln w="9525" cmpd="sng">
            <a:noFill/>
          </a:ln>
          <a:effectLst/>
        </xdr:spPr>
        <xdr:txBody>
          <a:bodyPr vertOverflow="clip" horzOverflow="clip" wrap="squar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CO" sz="1600" b="1" i="0" u="none" strike="noStrike" kern="0" cap="none" spc="0" normalizeH="0" baseline="0" noProof="0">
                <a:ln>
                  <a:noFill/>
                </a:ln>
                <a:solidFill>
                  <a:srgbClr val="006600"/>
                </a:solidFill>
                <a:effectLst/>
                <a:uLnTx/>
                <a:uFillTx/>
                <a:latin typeface="Calibri"/>
                <a:ea typeface="+mn-ea"/>
                <a:cs typeface="+mn-cs"/>
              </a:rPr>
              <a:t>UNIVERSIDAD DEL QUINDIO</a:t>
            </a:r>
          </a:p>
          <a:p>
            <a:pPr algn="ctr" eaLnBrk="1" fontAlgn="auto" latinLnBrk="0" hangingPunct="1"/>
            <a:r>
              <a:rPr lang="es-CO" sz="1100" b="0" i="0" baseline="0">
                <a:solidFill>
                  <a:srgbClr val="006600"/>
                </a:solidFill>
                <a:effectLst/>
                <a:latin typeface="+mn-lt"/>
                <a:ea typeface="+mn-ea"/>
                <a:cs typeface="+mn-cs"/>
              </a:rPr>
              <a:t>Oficina de Asuntos Profesorales</a:t>
            </a:r>
            <a:endParaRPr lang="es-CO">
              <a:solidFill>
                <a:srgbClr val="006600"/>
              </a:solidFill>
              <a:effectLst/>
            </a:endParaRPr>
          </a:p>
        </xdr:txBody>
      </xdr:sp>
      <xdr:pic>
        <xdr:nvPicPr>
          <xdr:cNvPr id="5" name="Picture 1" descr="logo de la universidad del quindio">
            <a:extLst>
              <a:ext uri="{FF2B5EF4-FFF2-40B4-BE49-F238E27FC236}">
                <a16:creationId xmlns:a16="http://schemas.microsoft.com/office/drawing/2014/main" id="{693A793C-78BD-4CCC-AA62-F355957F3629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lum bright="-30000"/>
          </a:blip>
          <a:srcRect/>
          <a:stretch>
            <a:fillRect/>
          </a:stretch>
        </xdr:blipFill>
        <xdr:spPr bwMode="auto">
          <a:xfrm>
            <a:off x="2907038" y="10105151"/>
            <a:ext cx="464446" cy="537663"/>
          </a:xfrm>
          <a:prstGeom prst="rect">
            <a:avLst/>
          </a:prstGeom>
          <a:ln>
            <a:noFill/>
          </a:ln>
          <a:effectLst>
            <a:outerShdw blurRad="292100" dist="50800" dir="2700000" sx="97000" sy="97000" algn="tl" rotWithShape="0">
              <a:srgbClr val="333333">
                <a:alpha val="50000"/>
              </a:srgbClr>
            </a:outerShdw>
          </a:effectLst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6" name="41 CuadroTexto">
            <a:extLst>
              <a:ext uri="{FF2B5EF4-FFF2-40B4-BE49-F238E27FC236}">
                <a16:creationId xmlns:a16="http://schemas.microsoft.com/office/drawing/2014/main" id="{9E82AF29-9C76-4FD2-8F8C-3302DCA42B2B}"/>
              </a:ext>
            </a:extLst>
          </xdr:cNvPr>
          <xdr:cNvSpPr txBox="1"/>
        </xdr:nvSpPr>
        <xdr:spPr bwMode="auto">
          <a:xfrm>
            <a:off x="5399005" y="10078652"/>
            <a:ext cx="3354460" cy="646866"/>
          </a:xfrm>
          <a:prstGeom prst="rect">
            <a:avLst/>
          </a:prstGeom>
          <a:solidFill>
            <a:sysClr val="window" lastClr="FFFFFF">
              <a:alpha val="80000"/>
            </a:sysClr>
          </a:solidFill>
          <a:ln w="9525" cmpd="sng">
            <a:noFill/>
          </a:ln>
          <a:effectLst/>
        </xdr:spPr>
        <xdr:txBody>
          <a:bodyPr vertOverflow="clip" horzOverflow="clip" wrap="squar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CO" sz="1200" b="1" i="0" u="none" strike="noStrike" kern="0" cap="none" spc="0" normalizeH="0" baseline="0" noProof="0">
                <a:ln>
                  <a:noFill/>
                </a:ln>
                <a:solidFill>
                  <a:srgbClr val="006600"/>
                </a:solidFill>
                <a:effectLst/>
                <a:uLnTx/>
                <a:uFillTx/>
                <a:latin typeface="Calibri"/>
                <a:ea typeface="+mn-ea"/>
                <a:cs typeface="+mn-cs"/>
              </a:rPr>
              <a:t>Base de Datos Cod: DOC_02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CO" sz="1200" b="1" i="0" u="none" strike="noStrike" kern="0" cap="none" spc="0" normalizeH="0" baseline="0" noProof="0">
                <a:ln>
                  <a:noFill/>
                </a:ln>
                <a:solidFill>
                  <a:srgbClr val="006600"/>
                </a:solidFill>
                <a:effectLst/>
                <a:uLnTx/>
                <a:uFillTx/>
                <a:latin typeface="Calibri"/>
                <a:ea typeface="+mn-ea"/>
                <a:cs typeface="+mn-cs"/>
              </a:rPr>
              <a:t>(PRODUCTIVIDAD DE PREMIO)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s-CO" sz="1200" b="1" i="0" baseline="0">
                <a:solidFill>
                  <a:srgbClr val="006600"/>
                </a:solidFill>
                <a:effectLst/>
                <a:latin typeface="+mn-lt"/>
                <a:ea typeface="+mn-ea"/>
                <a:cs typeface="+mn-cs"/>
              </a:rPr>
              <a:t>Cuadro No.6</a:t>
            </a:r>
            <a:endParaRPr lang="es-CO" sz="1400">
              <a:solidFill>
                <a:srgbClr val="006600"/>
              </a:solidFill>
              <a:effectLst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CO" sz="1200" b="1" i="0" u="none" strike="noStrike" kern="0" cap="none" spc="0" normalizeH="0" baseline="0" noProof="0">
              <a:ln>
                <a:noFill/>
              </a:ln>
              <a:solidFill>
                <a:srgbClr val="006600"/>
              </a:solidFill>
              <a:effectLst/>
              <a:uLnTx/>
              <a:uFillTx/>
              <a:latin typeface="Calibri"/>
              <a:ea typeface="+mn-ea"/>
              <a:cs typeface="+mn-cs"/>
            </a:endParaRPr>
          </a:p>
        </xdr:txBody>
      </xdr:sp>
      <xdr:grpSp>
        <xdr:nvGrpSpPr>
          <xdr:cNvPr id="7" name="27 Grupo">
            <a:extLst>
              <a:ext uri="{FF2B5EF4-FFF2-40B4-BE49-F238E27FC236}">
                <a16:creationId xmlns:a16="http://schemas.microsoft.com/office/drawing/2014/main" id="{B6D38CC3-374B-46B0-9F87-DD6BAC8872A1}"/>
              </a:ext>
            </a:extLst>
          </xdr:cNvPr>
          <xdr:cNvGrpSpPr>
            <a:grpSpLocks/>
          </xdr:cNvGrpSpPr>
        </xdr:nvGrpSpPr>
        <xdr:grpSpPr bwMode="auto">
          <a:xfrm>
            <a:off x="3826429" y="10168218"/>
            <a:ext cx="962406" cy="590550"/>
            <a:chOff x="1991021" y="2705056"/>
            <a:chExt cx="1500859" cy="972913"/>
          </a:xfrm>
        </xdr:grpSpPr>
        <xdr:pic>
          <xdr:nvPicPr>
            <xdr:cNvPr id="8" name="Picture 1" descr="logo de la universidad del quindio">
              <a:extLst>
                <a:ext uri="{FF2B5EF4-FFF2-40B4-BE49-F238E27FC236}">
                  <a16:creationId xmlns:a16="http://schemas.microsoft.com/office/drawing/2014/main" id="{A10B15FF-1568-4485-9FD2-A4F91ACC544D}"/>
                </a:ext>
              </a:extLst>
            </xdr:cNvPr>
            <xdr:cNvPicPr>
              <a:picLocks noChangeAspect="1" noChangeArrowheads="1"/>
            </xdr:cNvPicPr>
          </xdr:nvPicPr>
          <xdr:blipFill rotWithShape="1">
            <a:blip xmlns:r="http://schemas.openxmlformats.org/officeDocument/2006/relationships" r:embed="rId3" cstate="print">
              <a:duotone>
                <a:srgbClr val="9BBB59">
                  <a:shade val="45000"/>
                  <a:satMod val="135000"/>
                </a:srgbClr>
                <a:prstClr val="white"/>
              </a:duotone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b="22568"/>
            <a:stretch/>
          </xdr:blipFill>
          <xdr:spPr bwMode="auto">
            <a:xfrm>
              <a:off x="1991021" y="2705056"/>
              <a:ext cx="407588" cy="352423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9" name="Picture 1" descr="logo de la universidad del quindio">
              <a:extLst>
                <a:ext uri="{FF2B5EF4-FFF2-40B4-BE49-F238E27FC236}">
                  <a16:creationId xmlns:a16="http://schemas.microsoft.com/office/drawing/2014/main" id="{506E633A-797B-42FC-B176-7A1516B6EAD4}"/>
                </a:ext>
              </a:extLst>
            </xdr:cNvPr>
            <xdr:cNvPicPr>
              <a:picLocks noChangeAspect="1" noChangeArrowheads="1"/>
            </xdr:cNvPicPr>
          </xdr:nvPicPr>
          <xdr:blipFill rotWithShape="1">
            <a:blip xmlns:r="http://schemas.openxmlformats.org/officeDocument/2006/relationships" r:embed="rId4" cstate="print">
              <a:duotone>
                <a:srgbClr val="EEECE1">
                  <a:shade val="45000"/>
                  <a:satMod val="135000"/>
                </a:srgbClr>
                <a:prstClr val="white"/>
              </a:duotone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b="22568"/>
            <a:stretch/>
          </xdr:blipFill>
          <xdr:spPr bwMode="auto">
            <a:xfrm>
              <a:off x="2484039" y="2899048"/>
              <a:ext cx="275320" cy="238056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0" name="Picture 1" descr="logo de la universidad del quindio">
              <a:extLst>
                <a:ext uri="{FF2B5EF4-FFF2-40B4-BE49-F238E27FC236}">
                  <a16:creationId xmlns:a16="http://schemas.microsoft.com/office/drawing/2014/main" id="{8028C1E8-5CCD-4C0C-AFA0-01A8A51D29BE}"/>
                </a:ext>
              </a:extLst>
            </xdr:cNvPr>
            <xdr:cNvPicPr>
              <a:picLocks noChangeAspect="1" noChangeArrowheads="1"/>
            </xdr:cNvPicPr>
          </xdr:nvPicPr>
          <xdr:blipFill rotWithShape="1">
            <a:blip xmlns:r="http://schemas.openxmlformats.org/officeDocument/2006/relationships" r:embed="rId5" cstate="print">
              <a:duotone>
                <a:srgbClr val="4F81BD">
                  <a:shade val="45000"/>
                  <a:satMod val="135000"/>
                </a:srgbClr>
                <a:prstClr val="white"/>
              </a:duotone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b="22568"/>
            <a:stretch/>
          </xdr:blipFill>
          <xdr:spPr bwMode="auto">
            <a:xfrm>
              <a:off x="2145307" y="3511146"/>
              <a:ext cx="192936" cy="166823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1" name="Picture 1" descr="logo de la universidad del quindio">
              <a:extLst>
                <a:ext uri="{FF2B5EF4-FFF2-40B4-BE49-F238E27FC236}">
                  <a16:creationId xmlns:a16="http://schemas.microsoft.com/office/drawing/2014/main" id="{C7C26911-A2CD-493C-98F0-17907E7C3F88}"/>
                </a:ext>
              </a:extLst>
            </xdr:cNvPr>
            <xdr:cNvPicPr>
              <a:picLocks noChangeAspect="1" noChangeArrowheads="1"/>
            </xdr:cNvPicPr>
          </xdr:nvPicPr>
          <xdr:blipFill rotWithShape="1">
            <a:blip xmlns:r="http://schemas.openxmlformats.org/officeDocument/2006/relationships" r:embed="rId6" cstate="print">
              <a:duotone>
                <a:srgbClr val="8064A2">
                  <a:shade val="45000"/>
                  <a:satMod val="135000"/>
                </a:srgbClr>
                <a:prstClr val="white"/>
              </a:duotone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b="22568"/>
            <a:stretch/>
          </xdr:blipFill>
          <xdr:spPr bwMode="auto">
            <a:xfrm>
              <a:off x="2627784" y="3175177"/>
              <a:ext cx="153371" cy="132613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2" name="Picture 1" descr="logo de la universidad del quindio">
              <a:extLst>
                <a:ext uri="{FF2B5EF4-FFF2-40B4-BE49-F238E27FC236}">
                  <a16:creationId xmlns:a16="http://schemas.microsoft.com/office/drawing/2014/main" id="{27E35389-C3BB-4E57-BC4C-D83412852029}"/>
                </a:ext>
              </a:extLst>
            </xdr:cNvPr>
            <xdr:cNvPicPr>
              <a:picLocks noChangeAspect="1" noChangeArrowheads="1"/>
            </xdr:cNvPicPr>
          </xdr:nvPicPr>
          <xdr:blipFill rotWithShape="1">
            <a:blip xmlns:r="http://schemas.openxmlformats.org/officeDocument/2006/relationships" r:embed="rId7" cstate="print">
              <a:duotone>
                <a:srgbClr val="F79646">
                  <a:shade val="45000"/>
                  <a:satMod val="135000"/>
                </a:srgbClr>
                <a:prstClr val="white"/>
              </a:duotone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b="22568"/>
            <a:stretch/>
          </xdr:blipFill>
          <xdr:spPr bwMode="auto">
            <a:xfrm>
              <a:off x="2195737" y="3141742"/>
              <a:ext cx="275319" cy="238056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3" name="Picture 1" descr="logo de la universidad del quindio">
              <a:extLst>
                <a:ext uri="{FF2B5EF4-FFF2-40B4-BE49-F238E27FC236}">
                  <a16:creationId xmlns:a16="http://schemas.microsoft.com/office/drawing/2014/main" id="{DC367CA9-3F94-41AC-981F-DA3C835441DC}"/>
                </a:ext>
              </a:extLst>
            </xdr:cNvPr>
            <xdr:cNvPicPr>
              <a:picLocks noChangeAspect="1" noChangeArrowheads="1"/>
            </xdr:cNvPicPr>
          </xdr:nvPicPr>
          <xdr:blipFill rotWithShape="1">
            <a:blip xmlns:r="http://schemas.openxmlformats.org/officeDocument/2006/relationships" r:embed="rId8" cstate="print">
              <a:duotone>
                <a:srgbClr val="4F81BD">
                  <a:shade val="45000"/>
                  <a:satMod val="135000"/>
                </a:srgbClr>
                <a:prstClr val="white"/>
              </a:duotone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b="22568"/>
            <a:stretch/>
          </xdr:blipFill>
          <xdr:spPr bwMode="auto">
            <a:xfrm>
              <a:off x="2988957" y="2722391"/>
              <a:ext cx="140183" cy="121211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4" name="Picture 1" descr="logo de la universidad del quindio">
              <a:extLst>
                <a:ext uri="{FF2B5EF4-FFF2-40B4-BE49-F238E27FC236}">
                  <a16:creationId xmlns:a16="http://schemas.microsoft.com/office/drawing/2014/main" id="{48159096-F14C-41AC-AA26-FE8697458A6B}"/>
                </a:ext>
              </a:extLst>
            </xdr:cNvPr>
            <xdr:cNvPicPr>
              <a:picLocks noChangeAspect="1" noChangeArrowheads="1"/>
            </xdr:cNvPicPr>
          </xdr:nvPicPr>
          <xdr:blipFill rotWithShape="1">
            <a:blip xmlns:r="http://schemas.openxmlformats.org/officeDocument/2006/relationships" r:embed="rId9" cstate="print">
              <a:duotone>
                <a:srgbClr val="EEECE1">
                  <a:shade val="45000"/>
                  <a:satMod val="135000"/>
                </a:srgbClr>
                <a:prstClr val="white"/>
              </a:duotone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b="22568"/>
            <a:stretch/>
          </xdr:blipFill>
          <xdr:spPr bwMode="auto">
            <a:xfrm>
              <a:off x="2483768" y="3368159"/>
              <a:ext cx="180020" cy="155655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5" name="Picture 1" descr="logo de la universidad del quindio">
              <a:extLst>
                <a:ext uri="{FF2B5EF4-FFF2-40B4-BE49-F238E27FC236}">
                  <a16:creationId xmlns:a16="http://schemas.microsoft.com/office/drawing/2014/main" id="{B03D5E49-259E-4CDD-AF67-F9BF84FA90FA}"/>
                </a:ext>
              </a:extLst>
            </xdr:cNvPr>
            <xdr:cNvPicPr>
              <a:picLocks noChangeAspect="1" noChangeArrowheads="1"/>
            </xdr:cNvPicPr>
          </xdr:nvPicPr>
          <xdr:blipFill rotWithShape="1">
            <a:blip xmlns:r="http://schemas.openxmlformats.org/officeDocument/2006/relationships" r:embed="rId8" cstate="print">
              <a:duotone>
                <a:srgbClr val="9BBB59">
                  <a:shade val="45000"/>
                  <a:satMod val="135000"/>
                </a:srgbClr>
                <a:prstClr val="white"/>
              </a:duotone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b="22568"/>
            <a:stretch/>
          </xdr:blipFill>
          <xdr:spPr bwMode="auto">
            <a:xfrm>
              <a:off x="2915815" y="2998422"/>
              <a:ext cx="140183" cy="121211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6" name="Picture 1" descr="logo de la universidad del quindio">
              <a:extLst>
                <a:ext uri="{FF2B5EF4-FFF2-40B4-BE49-F238E27FC236}">
                  <a16:creationId xmlns:a16="http://schemas.microsoft.com/office/drawing/2014/main" id="{B4B44C46-B256-4DFE-93B5-043DC8958BD9}"/>
                </a:ext>
              </a:extLst>
            </xdr:cNvPr>
            <xdr:cNvPicPr>
              <a:picLocks noChangeAspect="1" noChangeArrowheads="1"/>
            </xdr:cNvPicPr>
          </xdr:nvPicPr>
          <xdr:blipFill rotWithShape="1">
            <a:blip xmlns:r="http://schemas.openxmlformats.org/officeDocument/2006/relationships" r:embed="rId10" cstate="print">
              <a:duotone>
                <a:srgbClr val="8064A2">
                  <a:shade val="45000"/>
                  <a:satMod val="135000"/>
                </a:srgbClr>
                <a:prstClr val="white"/>
              </a:duotone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b="22568"/>
            <a:stretch/>
          </xdr:blipFill>
          <xdr:spPr bwMode="auto">
            <a:xfrm>
              <a:off x="2544505" y="2731726"/>
              <a:ext cx="83279" cy="72008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7" name="Picture 1" descr="logo de la universidad del quindio">
              <a:extLst>
                <a:ext uri="{FF2B5EF4-FFF2-40B4-BE49-F238E27FC236}">
                  <a16:creationId xmlns:a16="http://schemas.microsoft.com/office/drawing/2014/main" id="{DC591AB7-92FF-4809-B8ED-BA375A0F1DEE}"/>
                </a:ext>
              </a:extLst>
            </xdr:cNvPr>
            <xdr:cNvPicPr>
              <a:picLocks noChangeAspect="1" noChangeArrowheads="1"/>
            </xdr:cNvPicPr>
          </xdr:nvPicPr>
          <xdr:blipFill rotWithShape="1">
            <a:blip xmlns:r="http://schemas.openxmlformats.org/officeDocument/2006/relationships" r:embed="rId8" cstate="print">
              <a:duotone>
                <a:srgbClr val="F79646">
                  <a:shade val="45000"/>
                  <a:satMod val="135000"/>
                </a:srgbClr>
                <a:prstClr val="white"/>
              </a:duotone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b="22568"/>
            <a:stretch/>
          </xdr:blipFill>
          <xdr:spPr bwMode="auto">
            <a:xfrm>
              <a:off x="2771800" y="2783681"/>
              <a:ext cx="140183" cy="12121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8" name="Picture 1" descr="logo de la universidad del quindio">
              <a:extLst>
                <a:ext uri="{FF2B5EF4-FFF2-40B4-BE49-F238E27FC236}">
                  <a16:creationId xmlns:a16="http://schemas.microsoft.com/office/drawing/2014/main" id="{967A64D5-F136-4852-92B0-789AB2BC42B0}"/>
                </a:ext>
              </a:extLst>
            </xdr:cNvPr>
            <xdr:cNvPicPr>
              <a:picLocks noChangeAspect="1" noChangeArrowheads="1"/>
            </xdr:cNvPicPr>
          </xdr:nvPicPr>
          <xdr:blipFill rotWithShape="1">
            <a:blip xmlns:r="http://schemas.openxmlformats.org/officeDocument/2006/relationships" r:embed="rId10" cstate="print">
              <a:duotone>
                <a:srgbClr val="8064A2">
                  <a:shade val="45000"/>
                  <a:satMod val="135000"/>
                </a:srgbClr>
                <a:prstClr val="white"/>
              </a:duotone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b="22568"/>
            <a:stretch/>
          </xdr:blipFill>
          <xdr:spPr bwMode="auto">
            <a:xfrm>
              <a:off x="3132217" y="2892410"/>
              <a:ext cx="83279" cy="72008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9" name="Picture 1" descr="logo de la universidad del quindio">
              <a:extLst>
                <a:ext uri="{FF2B5EF4-FFF2-40B4-BE49-F238E27FC236}">
                  <a16:creationId xmlns:a16="http://schemas.microsoft.com/office/drawing/2014/main" id="{0C1C7B25-AD20-466B-B418-EE19F879F735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0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b="22568"/>
            <a:stretch>
              <a:fillRect/>
            </a:stretch>
          </xdr:blipFill>
          <xdr:spPr bwMode="auto">
            <a:xfrm>
              <a:off x="3408601" y="2876939"/>
              <a:ext cx="83279" cy="72008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</xdr:grpSp>
    </xdr:grp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74327</xdr:rowOff>
    </xdr:from>
    <xdr:to>
      <xdr:col>18</xdr:col>
      <xdr:colOff>12739</xdr:colOff>
      <xdr:row>1</xdr:row>
      <xdr:rowOff>30956</xdr:rowOff>
    </xdr:to>
    <xdr:grpSp>
      <xdr:nvGrpSpPr>
        <xdr:cNvPr id="20" name="1 Grupo">
          <a:extLst>
            <a:ext uri="{FF2B5EF4-FFF2-40B4-BE49-F238E27FC236}">
              <a16:creationId xmlns:a16="http://schemas.microsoft.com/office/drawing/2014/main" id="{968344EA-56EF-4400-B63B-63FB44F83951}"/>
            </a:ext>
          </a:extLst>
        </xdr:cNvPr>
        <xdr:cNvGrpSpPr/>
      </xdr:nvGrpSpPr>
      <xdr:grpSpPr>
        <a:xfrm>
          <a:off x="38100" y="74327"/>
          <a:ext cx="15995689" cy="871029"/>
          <a:chOff x="2758685" y="9998515"/>
          <a:chExt cx="9310047" cy="760253"/>
        </a:xfrm>
      </xdr:grpSpPr>
      <xdr:pic>
        <xdr:nvPicPr>
          <xdr:cNvPr id="21" name="3 Imagen">
            <a:extLst>
              <a:ext uri="{FF2B5EF4-FFF2-40B4-BE49-F238E27FC236}">
                <a16:creationId xmlns:a16="http://schemas.microsoft.com/office/drawing/2014/main" id="{184154DE-E576-42F3-81B4-3BAB3F49E210}"/>
              </a:ext>
            </a:extLst>
          </xdr:cNvPr>
          <xdr:cNvPicPr preferRelativeResize="0"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4940" t="25337" r="15240" b="14766"/>
          <a:stretch>
            <a:fillRect/>
          </a:stretch>
        </xdr:blipFill>
        <xdr:spPr bwMode="auto">
          <a:xfrm>
            <a:off x="2758685" y="9998515"/>
            <a:ext cx="9310047" cy="71830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22" name="Picture 1" descr="logo de la universidad del quindio">
            <a:extLst>
              <a:ext uri="{FF2B5EF4-FFF2-40B4-BE49-F238E27FC236}">
                <a16:creationId xmlns:a16="http://schemas.microsoft.com/office/drawing/2014/main" id="{DD195261-ED45-4AE6-996D-B65E545E21FF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lum bright="-30000"/>
          </a:blip>
          <a:srcRect/>
          <a:stretch>
            <a:fillRect/>
          </a:stretch>
        </xdr:blipFill>
        <xdr:spPr bwMode="auto">
          <a:xfrm>
            <a:off x="2907038" y="10105151"/>
            <a:ext cx="464446" cy="537663"/>
          </a:xfrm>
          <a:prstGeom prst="rect">
            <a:avLst/>
          </a:prstGeom>
          <a:ln>
            <a:noFill/>
          </a:ln>
          <a:effectLst>
            <a:outerShdw blurRad="292100" dist="50800" dir="2700000" sx="97000" sy="97000" algn="tl" rotWithShape="0">
              <a:srgbClr val="333333">
                <a:alpha val="50000"/>
              </a:srgbClr>
            </a:outerShdw>
          </a:effectLst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23" name="5 CuadroTexto">
            <a:extLst>
              <a:ext uri="{FF2B5EF4-FFF2-40B4-BE49-F238E27FC236}">
                <a16:creationId xmlns:a16="http://schemas.microsoft.com/office/drawing/2014/main" id="{85DFB4AF-CDAD-4AF6-90F0-2BDBD3609303}"/>
              </a:ext>
            </a:extLst>
          </xdr:cNvPr>
          <xdr:cNvSpPr txBox="1"/>
        </xdr:nvSpPr>
        <xdr:spPr bwMode="auto">
          <a:xfrm>
            <a:off x="5401253" y="10148270"/>
            <a:ext cx="3390929" cy="516970"/>
          </a:xfrm>
          <a:prstGeom prst="rect">
            <a:avLst/>
          </a:prstGeom>
          <a:solidFill>
            <a:sysClr val="window" lastClr="FFFFFF">
              <a:alpha val="80000"/>
            </a:sysClr>
          </a:solidFill>
          <a:ln w="9525" cmpd="sng">
            <a:noFill/>
          </a:ln>
          <a:effectLst/>
        </xdr:spPr>
        <xdr:txBody>
          <a:bodyPr vertOverflow="clip" horzOverflow="clip" wrap="squar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CO" sz="1200" b="1" i="0" u="none" strike="noStrike" kern="0" cap="none" spc="0" normalizeH="0" baseline="0" noProof="0">
                <a:ln>
                  <a:noFill/>
                </a:ln>
                <a:solidFill>
                  <a:srgbClr val="006600"/>
                </a:solidFill>
                <a:effectLst/>
                <a:uLnTx/>
                <a:uFillTx/>
                <a:latin typeface="Calibri"/>
                <a:ea typeface="+mn-ea"/>
                <a:cs typeface="+mn-cs"/>
              </a:rPr>
              <a:t>Base de Datos Cod: DOC_02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CO" sz="1200" b="1" i="0" u="none" strike="noStrike" kern="0" cap="none" spc="0" normalizeH="0" baseline="0" noProof="0">
                <a:ln>
                  <a:noFill/>
                </a:ln>
                <a:solidFill>
                  <a:srgbClr val="006600"/>
                </a:solidFill>
                <a:effectLst/>
                <a:uLnTx/>
                <a:uFillTx/>
                <a:latin typeface="Calibri"/>
                <a:ea typeface="+mn-ea"/>
                <a:cs typeface="+mn-cs"/>
              </a:rPr>
              <a:t>(PRODUCTIVIDAD PATENTE)</a:t>
            </a:r>
          </a:p>
        </xdr:txBody>
      </xdr:sp>
      <xdr:grpSp>
        <xdr:nvGrpSpPr>
          <xdr:cNvPr id="24" name="27 Grupo">
            <a:extLst>
              <a:ext uri="{FF2B5EF4-FFF2-40B4-BE49-F238E27FC236}">
                <a16:creationId xmlns:a16="http://schemas.microsoft.com/office/drawing/2014/main" id="{B6A63CA5-2A7C-4F98-ABFB-63D6AD7D616E}"/>
              </a:ext>
            </a:extLst>
          </xdr:cNvPr>
          <xdr:cNvGrpSpPr>
            <a:grpSpLocks/>
          </xdr:cNvGrpSpPr>
        </xdr:nvGrpSpPr>
        <xdr:grpSpPr bwMode="auto">
          <a:xfrm>
            <a:off x="3826429" y="10168218"/>
            <a:ext cx="962406" cy="590550"/>
            <a:chOff x="1991021" y="2705056"/>
            <a:chExt cx="1500859" cy="972913"/>
          </a:xfrm>
        </xdr:grpSpPr>
        <xdr:pic>
          <xdr:nvPicPr>
            <xdr:cNvPr id="25" name="Picture 1" descr="logo de la universidad del quindio">
              <a:extLst>
                <a:ext uri="{FF2B5EF4-FFF2-40B4-BE49-F238E27FC236}">
                  <a16:creationId xmlns:a16="http://schemas.microsoft.com/office/drawing/2014/main" id="{1142C375-C73B-49CB-8231-08D1828F1FC9}"/>
                </a:ext>
              </a:extLst>
            </xdr:cNvPr>
            <xdr:cNvPicPr>
              <a:picLocks noChangeAspect="1" noChangeArrowheads="1"/>
            </xdr:cNvPicPr>
          </xdr:nvPicPr>
          <xdr:blipFill rotWithShape="1">
            <a:blip xmlns:r="http://schemas.openxmlformats.org/officeDocument/2006/relationships" r:embed="rId3" cstate="print">
              <a:duotone>
                <a:srgbClr val="9BBB59">
                  <a:shade val="45000"/>
                  <a:satMod val="135000"/>
                </a:srgbClr>
                <a:prstClr val="white"/>
              </a:duotone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b="22568"/>
            <a:stretch/>
          </xdr:blipFill>
          <xdr:spPr bwMode="auto">
            <a:xfrm>
              <a:off x="1991021" y="2705056"/>
              <a:ext cx="407588" cy="352423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26" name="Picture 1" descr="logo de la universidad del quindio">
              <a:extLst>
                <a:ext uri="{FF2B5EF4-FFF2-40B4-BE49-F238E27FC236}">
                  <a16:creationId xmlns:a16="http://schemas.microsoft.com/office/drawing/2014/main" id="{8DDF17C5-D121-4E5C-818F-250812790AB5}"/>
                </a:ext>
              </a:extLst>
            </xdr:cNvPr>
            <xdr:cNvPicPr>
              <a:picLocks noChangeAspect="1" noChangeArrowheads="1"/>
            </xdr:cNvPicPr>
          </xdr:nvPicPr>
          <xdr:blipFill rotWithShape="1">
            <a:blip xmlns:r="http://schemas.openxmlformats.org/officeDocument/2006/relationships" r:embed="rId4" cstate="print">
              <a:duotone>
                <a:srgbClr val="EEECE1">
                  <a:shade val="45000"/>
                  <a:satMod val="135000"/>
                </a:srgbClr>
                <a:prstClr val="white"/>
              </a:duotone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b="22568"/>
            <a:stretch/>
          </xdr:blipFill>
          <xdr:spPr bwMode="auto">
            <a:xfrm>
              <a:off x="2484039" y="2899048"/>
              <a:ext cx="275320" cy="238056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27" name="Picture 1" descr="logo de la universidad del quindio">
              <a:extLst>
                <a:ext uri="{FF2B5EF4-FFF2-40B4-BE49-F238E27FC236}">
                  <a16:creationId xmlns:a16="http://schemas.microsoft.com/office/drawing/2014/main" id="{11AB685D-FD93-4B09-8001-8C14AAC9AC7A}"/>
                </a:ext>
              </a:extLst>
            </xdr:cNvPr>
            <xdr:cNvPicPr>
              <a:picLocks noChangeAspect="1" noChangeArrowheads="1"/>
            </xdr:cNvPicPr>
          </xdr:nvPicPr>
          <xdr:blipFill rotWithShape="1">
            <a:blip xmlns:r="http://schemas.openxmlformats.org/officeDocument/2006/relationships" r:embed="rId5" cstate="print">
              <a:duotone>
                <a:srgbClr val="4F81BD">
                  <a:shade val="45000"/>
                  <a:satMod val="135000"/>
                </a:srgbClr>
                <a:prstClr val="white"/>
              </a:duotone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b="22568"/>
            <a:stretch/>
          </xdr:blipFill>
          <xdr:spPr bwMode="auto">
            <a:xfrm>
              <a:off x="2145307" y="3511146"/>
              <a:ext cx="192936" cy="166823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28" name="Picture 1" descr="logo de la universidad del quindio">
              <a:extLst>
                <a:ext uri="{FF2B5EF4-FFF2-40B4-BE49-F238E27FC236}">
                  <a16:creationId xmlns:a16="http://schemas.microsoft.com/office/drawing/2014/main" id="{9FA5EA9D-8433-4AD1-9D36-64ADE1446FD0}"/>
                </a:ext>
              </a:extLst>
            </xdr:cNvPr>
            <xdr:cNvPicPr>
              <a:picLocks noChangeAspect="1" noChangeArrowheads="1"/>
            </xdr:cNvPicPr>
          </xdr:nvPicPr>
          <xdr:blipFill rotWithShape="1">
            <a:blip xmlns:r="http://schemas.openxmlformats.org/officeDocument/2006/relationships" r:embed="rId6" cstate="print">
              <a:duotone>
                <a:srgbClr val="8064A2">
                  <a:shade val="45000"/>
                  <a:satMod val="135000"/>
                </a:srgbClr>
                <a:prstClr val="white"/>
              </a:duotone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b="22568"/>
            <a:stretch/>
          </xdr:blipFill>
          <xdr:spPr bwMode="auto">
            <a:xfrm>
              <a:off x="2627784" y="3175177"/>
              <a:ext cx="153371" cy="132613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29" name="Picture 1" descr="logo de la universidad del quindio">
              <a:extLst>
                <a:ext uri="{FF2B5EF4-FFF2-40B4-BE49-F238E27FC236}">
                  <a16:creationId xmlns:a16="http://schemas.microsoft.com/office/drawing/2014/main" id="{EE9125B7-C704-488D-95ED-119A76122A41}"/>
                </a:ext>
              </a:extLst>
            </xdr:cNvPr>
            <xdr:cNvPicPr>
              <a:picLocks noChangeAspect="1" noChangeArrowheads="1"/>
            </xdr:cNvPicPr>
          </xdr:nvPicPr>
          <xdr:blipFill rotWithShape="1">
            <a:blip xmlns:r="http://schemas.openxmlformats.org/officeDocument/2006/relationships" r:embed="rId7" cstate="print">
              <a:duotone>
                <a:srgbClr val="F79646">
                  <a:shade val="45000"/>
                  <a:satMod val="135000"/>
                </a:srgbClr>
                <a:prstClr val="white"/>
              </a:duotone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b="22568"/>
            <a:stretch/>
          </xdr:blipFill>
          <xdr:spPr bwMode="auto">
            <a:xfrm>
              <a:off x="2195737" y="3141742"/>
              <a:ext cx="275319" cy="238056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30" name="Picture 1" descr="logo de la universidad del quindio">
              <a:extLst>
                <a:ext uri="{FF2B5EF4-FFF2-40B4-BE49-F238E27FC236}">
                  <a16:creationId xmlns:a16="http://schemas.microsoft.com/office/drawing/2014/main" id="{FAA3EDEF-D33C-4831-B5CB-FC71A3797E2C}"/>
                </a:ext>
              </a:extLst>
            </xdr:cNvPr>
            <xdr:cNvPicPr>
              <a:picLocks noChangeAspect="1" noChangeArrowheads="1"/>
            </xdr:cNvPicPr>
          </xdr:nvPicPr>
          <xdr:blipFill rotWithShape="1">
            <a:blip xmlns:r="http://schemas.openxmlformats.org/officeDocument/2006/relationships" r:embed="rId8" cstate="print">
              <a:duotone>
                <a:srgbClr val="4F81BD">
                  <a:shade val="45000"/>
                  <a:satMod val="135000"/>
                </a:srgbClr>
                <a:prstClr val="white"/>
              </a:duotone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b="22568"/>
            <a:stretch/>
          </xdr:blipFill>
          <xdr:spPr bwMode="auto">
            <a:xfrm>
              <a:off x="2988957" y="2722391"/>
              <a:ext cx="140183" cy="121211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31" name="Picture 1" descr="logo de la universidad del quindio">
              <a:extLst>
                <a:ext uri="{FF2B5EF4-FFF2-40B4-BE49-F238E27FC236}">
                  <a16:creationId xmlns:a16="http://schemas.microsoft.com/office/drawing/2014/main" id="{A62EE0A9-0E0B-469A-8992-2DFCD1AAABFF}"/>
                </a:ext>
              </a:extLst>
            </xdr:cNvPr>
            <xdr:cNvPicPr>
              <a:picLocks noChangeAspect="1" noChangeArrowheads="1"/>
            </xdr:cNvPicPr>
          </xdr:nvPicPr>
          <xdr:blipFill rotWithShape="1">
            <a:blip xmlns:r="http://schemas.openxmlformats.org/officeDocument/2006/relationships" r:embed="rId9" cstate="print">
              <a:duotone>
                <a:srgbClr val="EEECE1">
                  <a:shade val="45000"/>
                  <a:satMod val="135000"/>
                </a:srgbClr>
                <a:prstClr val="white"/>
              </a:duotone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b="22568"/>
            <a:stretch/>
          </xdr:blipFill>
          <xdr:spPr bwMode="auto">
            <a:xfrm>
              <a:off x="2483768" y="3368159"/>
              <a:ext cx="180020" cy="155655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32" name="Picture 1" descr="logo de la universidad del quindio">
              <a:extLst>
                <a:ext uri="{FF2B5EF4-FFF2-40B4-BE49-F238E27FC236}">
                  <a16:creationId xmlns:a16="http://schemas.microsoft.com/office/drawing/2014/main" id="{730D94F9-FA9B-4F7E-9FA1-3DCF2E84791F}"/>
                </a:ext>
              </a:extLst>
            </xdr:cNvPr>
            <xdr:cNvPicPr>
              <a:picLocks noChangeAspect="1" noChangeArrowheads="1"/>
            </xdr:cNvPicPr>
          </xdr:nvPicPr>
          <xdr:blipFill rotWithShape="1">
            <a:blip xmlns:r="http://schemas.openxmlformats.org/officeDocument/2006/relationships" r:embed="rId8" cstate="print">
              <a:duotone>
                <a:srgbClr val="9BBB59">
                  <a:shade val="45000"/>
                  <a:satMod val="135000"/>
                </a:srgbClr>
                <a:prstClr val="white"/>
              </a:duotone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b="22568"/>
            <a:stretch/>
          </xdr:blipFill>
          <xdr:spPr bwMode="auto">
            <a:xfrm>
              <a:off x="2915815" y="2998422"/>
              <a:ext cx="140183" cy="121211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33" name="Picture 1" descr="logo de la universidad del quindio">
              <a:extLst>
                <a:ext uri="{FF2B5EF4-FFF2-40B4-BE49-F238E27FC236}">
                  <a16:creationId xmlns:a16="http://schemas.microsoft.com/office/drawing/2014/main" id="{B01B363F-1A67-42D4-81F6-AD77A06D3C73}"/>
                </a:ext>
              </a:extLst>
            </xdr:cNvPr>
            <xdr:cNvPicPr>
              <a:picLocks noChangeAspect="1" noChangeArrowheads="1"/>
            </xdr:cNvPicPr>
          </xdr:nvPicPr>
          <xdr:blipFill rotWithShape="1">
            <a:blip xmlns:r="http://schemas.openxmlformats.org/officeDocument/2006/relationships" r:embed="rId10" cstate="print">
              <a:duotone>
                <a:srgbClr val="8064A2">
                  <a:shade val="45000"/>
                  <a:satMod val="135000"/>
                </a:srgbClr>
                <a:prstClr val="white"/>
              </a:duotone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b="22568"/>
            <a:stretch/>
          </xdr:blipFill>
          <xdr:spPr bwMode="auto">
            <a:xfrm>
              <a:off x="2544505" y="2731726"/>
              <a:ext cx="83279" cy="72008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34" name="Picture 1" descr="logo de la universidad del quindio">
              <a:extLst>
                <a:ext uri="{FF2B5EF4-FFF2-40B4-BE49-F238E27FC236}">
                  <a16:creationId xmlns:a16="http://schemas.microsoft.com/office/drawing/2014/main" id="{EACACA6D-4BCF-4106-86B1-12E13B5B7638}"/>
                </a:ext>
              </a:extLst>
            </xdr:cNvPr>
            <xdr:cNvPicPr>
              <a:picLocks noChangeAspect="1" noChangeArrowheads="1"/>
            </xdr:cNvPicPr>
          </xdr:nvPicPr>
          <xdr:blipFill rotWithShape="1">
            <a:blip xmlns:r="http://schemas.openxmlformats.org/officeDocument/2006/relationships" r:embed="rId8" cstate="print">
              <a:duotone>
                <a:srgbClr val="F79646">
                  <a:shade val="45000"/>
                  <a:satMod val="135000"/>
                </a:srgbClr>
                <a:prstClr val="white"/>
              </a:duotone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b="22568"/>
            <a:stretch/>
          </xdr:blipFill>
          <xdr:spPr bwMode="auto">
            <a:xfrm>
              <a:off x="2771800" y="2783681"/>
              <a:ext cx="140183" cy="12121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35" name="Picture 1" descr="logo de la universidad del quindio">
              <a:extLst>
                <a:ext uri="{FF2B5EF4-FFF2-40B4-BE49-F238E27FC236}">
                  <a16:creationId xmlns:a16="http://schemas.microsoft.com/office/drawing/2014/main" id="{2DD1D81D-FC5B-466E-A84B-1CD3E8B789FF}"/>
                </a:ext>
              </a:extLst>
            </xdr:cNvPr>
            <xdr:cNvPicPr>
              <a:picLocks noChangeAspect="1" noChangeArrowheads="1"/>
            </xdr:cNvPicPr>
          </xdr:nvPicPr>
          <xdr:blipFill rotWithShape="1">
            <a:blip xmlns:r="http://schemas.openxmlformats.org/officeDocument/2006/relationships" r:embed="rId10" cstate="print">
              <a:duotone>
                <a:srgbClr val="8064A2">
                  <a:shade val="45000"/>
                  <a:satMod val="135000"/>
                </a:srgbClr>
                <a:prstClr val="white"/>
              </a:duotone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b="22568"/>
            <a:stretch/>
          </xdr:blipFill>
          <xdr:spPr bwMode="auto">
            <a:xfrm>
              <a:off x="3132217" y="2892410"/>
              <a:ext cx="83279" cy="72008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36" name="Picture 1" descr="logo de la universidad del quindio">
              <a:extLst>
                <a:ext uri="{FF2B5EF4-FFF2-40B4-BE49-F238E27FC236}">
                  <a16:creationId xmlns:a16="http://schemas.microsoft.com/office/drawing/2014/main" id="{B0B4D43D-4298-4307-A7C3-BE3740FADCDF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0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b="22568"/>
            <a:stretch>
              <a:fillRect/>
            </a:stretch>
          </xdr:blipFill>
          <xdr:spPr bwMode="auto">
            <a:xfrm>
              <a:off x="3408601" y="2876939"/>
              <a:ext cx="83279" cy="72008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</xdr:grpSp>
    </xdr:grpSp>
    <xdr:clientData/>
  </xdr:twoCellAnchor>
  <xdr:twoCellAnchor>
    <xdr:from>
      <xdr:col>11</xdr:col>
      <xdr:colOff>773906</xdr:colOff>
      <xdr:row>0</xdr:row>
      <xdr:rowOff>90996</xdr:rowOff>
    </xdr:from>
    <xdr:to>
      <xdr:col>17</xdr:col>
      <xdr:colOff>988219</xdr:colOff>
      <xdr:row>0</xdr:row>
      <xdr:rowOff>888305</xdr:rowOff>
    </xdr:to>
    <xdr:sp macro="" textlink="">
      <xdr:nvSpPr>
        <xdr:cNvPr id="37" name="21 CuadroTexto">
          <a:extLst>
            <a:ext uri="{FF2B5EF4-FFF2-40B4-BE49-F238E27FC236}">
              <a16:creationId xmlns:a16="http://schemas.microsoft.com/office/drawing/2014/main" id="{DFA358C6-F43A-4542-B682-FB90B1F0AF51}"/>
            </a:ext>
          </a:extLst>
        </xdr:cNvPr>
        <xdr:cNvSpPr txBox="1"/>
      </xdr:nvSpPr>
      <xdr:spPr bwMode="auto">
        <a:xfrm>
          <a:off x="11089481" y="90996"/>
          <a:ext cx="4271963" cy="797309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CO" sz="1600" b="1" i="0" u="none" strike="noStrike" kern="0" cap="none" spc="0" normalizeH="0" baseline="0" noProof="0">
              <a:ln>
                <a:noFill/>
              </a:ln>
              <a:solidFill>
                <a:srgbClr val="006600"/>
              </a:solidFill>
              <a:effectLst/>
              <a:uLnTx/>
              <a:uFillTx/>
              <a:latin typeface="Calibri"/>
              <a:ea typeface="+mn-ea"/>
              <a:cs typeface="+mn-cs"/>
            </a:rPr>
            <a:t>UNIVERSIDAD DEL QUINDIO</a:t>
          </a:r>
        </a:p>
        <a:p>
          <a:pPr algn="ctr" eaLnBrk="1" fontAlgn="auto" latinLnBrk="0" hangingPunct="1"/>
          <a:r>
            <a:rPr lang="es-CO" sz="1100" b="0" i="0" baseline="0">
              <a:solidFill>
                <a:schemeClr val="accent3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Oficina de Asuntos Profesorales</a:t>
          </a:r>
          <a:endParaRPr lang="es-CO">
            <a:solidFill>
              <a:schemeClr val="accent3">
                <a:lumMod val="50000"/>
              </a:schemeClr>
            </a:solidFill>
            <a:effectLst/>
          </a:endParaRP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42333</xdr:colOff>
      <xdr:row>0</xdr:row>
      <xdr:rowOff>0</xdr:rowOff>
    </xdr:from>
    <xdr:to>
      <xdr:col>20</xdr:col>
      <xdr:colOff>1371599</xdr:colOff>
      <xdr:row>1</xdr:row>
      <xdr:rowOff>0</xdr:rowOff>
    </xdr:to>
    <xdr:grpSp>
      <xdr:nvGrpSpPr>
        <xdr:cNvPr id="2" name="1 Grupo">
          <a:extLst>
            <a:ext uri="{FF2B5EF4-FFF2-40B4-BE49-F238E27FC236}">
              <a16:creationId xmlns:a16="http://schemas.microsoft.com/office/drawing/2014/main" id="{4BF0F598-E5FF-4C3B-813D-805E2D25018C}"/>
            </a:ext>
          </a:extLst>
        </xdr:cNvPr>
        <xdr:cNvGrpSpPr/>
      </xdr:nvGrpSpPr>
      <xdr:grpSpPr>
        <a:xfrm>
          <a:off x="42333" y="0"/>
          <a:ext cx="15931091" cy="914400"/>
          <a:chOff x="2758685" y="9960764"/>
          <a:chExt cx="9313730" cy="798004"/>
        </a:xfrm>
      </xdr:grpSpPr>
      <xdr:pic>
        <xdr:nvPicPr>
          <xdr:cNvPr id="3" name="3 Imagen">
            <a:extLst>
              <a:ext uri="{FF2B5EF4-FFF2-40B4-BE49-F238E27FC236}">
                <a16:creationId xmlns:a16="http://schemas.microsoft.com/office/drawing/2014/main" id="{4B5156E4-C7DD-40CA-94F7-500867345E2E}"/>
              </a:ext>
            </a:extLst>
          </xdr:cNvPr>
          <xdr:cNvPicPr preferRelativeResize="0"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4940" t="25337" r="15240" b="14766"/>
          <a:stretch>
            <a:fillRect/>
          </a:stretch>
        </xdr:blipFill>
        <xdr:spPr bwMode="auto">
          <a:xfrm>
            <a:off x="2758685" y="9998515"/>
            <a:ext cx="9310047" cy="71830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4" name="3 CuadroTexto">
            <a:extLst>
              <a:ext uri="{FF2B5EF4-FFF2-40B4-BE49-F238E27FC236}">
                <a16:creationId xmlns:a16="http://schemas.microsoft.com/office/drawing/2014/main" id="{CA27B7D2-29BF-43BE-B9CA-3DD746B59E6A}"/>
              </a:ext>
            </a:extLst>
          </xdr:cNvPr>
          <xdr:cNvSpPr txBox="1"/>
        </xdr:nvSpPr>
        <xdr:spPr bwMode="auto">
          <a:xfrm>
            <a:off x="9393247" y="9960764"/>
            <a:ext cx="2679168" cy="695399"/>
          </a:xfrm>
          <a:prstGeom prst="rect">
            <a:avLst/>
          </a:prstGeom>
          <a:noFill/>
          <a:ln w="9525" cmpd="sng">
            <a:noFill/>
          </a:ln>
          <a:effectLst/>
        </xdr:spPr>
        <xdr:txBody>
          <a:bodyPr vertOverflow="clip" horzOverflow="clip" wrap="squar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CO" sz="1600" b="1" i="0" u="none" strike="noStrike" kern="0" cap="none" spc="0" normalizeH="0" baseline="0" noProof="0">
                <a:ln>
                  <a:noFill/>
                </a:ln>
                <a:solidFill>
                  <a:srgbClr val="006600"/>
                </a:solidFill>
                <a:effectLst/>
                <a:uLnTx/>
                <a:uFillTx/>
                <a:latin typeface="Calibri"/>
                <a:ea typeface="+mn-ea"/>
                <a:cs typeface="+mn-cs"/>
              </a:rPr>
              <a:t>UNIVERSIDAD DEL QUINDIO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CO" sz="1100" b="0" i="0" u="none" strike="noStrike" kern="0" cap="none" spc="0" normalizeH="0" baseline="0" noProof="0">
                <a:ln>
                  <a:noFill/>
                </a:ln>
                <a:solidFill>
                  <a:srgbClr val="006600"/>
                </a:solidFill>
                <a:effectLst/>
                <a:uLnTx/>
                <a:uFillTx/>
                <a:latin typeface="Calibri"/>
                <a:ea typeface="+mn-ea"/>
                <a:cs typeface="+mn-cs"/>
              </a:rPr>
              <a:t>Oficina de Asuntos Profesorales</a:t>
            </a:r>
          </a:p>
        </xdr:txBody>
      </xdr:sp>
      <xdr:pic>
        <xdr:nvPicPr>
          <xdr:cNvPr id="5" name="Picture 1" descr="logo de la universidad del quindio">
            <a:extLst>
              <a:ext uri="{FF2B5EF4-FFF2-40B4-BE49-F238E27FC236}">
                <a16:creationId xmlns:a16="http://schemas.microsoft.com/office/drawing/2014/main" id="{1984AAB8-1F97-42D3-ACDA-468B0D203B36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lum bright="-30000"/>
          </a:blip>
          <a:srcRect/>
          <a:stretch>
            <a:fillRect/>
          </a:stretch>
        </xdr:blipFill>
        <xdr:spPr bwMode="auto">
          <a:xfrm>
            <a:off x="2907038" y="10105151"/>
            <a:ext cx="464446" cy="537663"/>
          </a:xfrm>
          <a:prstGeom prst="rect">
            <a:avLst/>
          </a:prstGeom>
          <a:ln>
            <a:noFill/>
          </a:ln>
          <a:effectLst>
            <a:outerShdw blurRad="292100" dist="50800" dir="2700000" sx="97000" sy="97000" algn="tl" rotWithShape="0">
              <a:srgbClr val="333333">
                <a:alpha val="50000"/>
              </a:srgbClr>
            </a:outerShdw>
          </a:effectLst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6" name="5 CuadroTexto">
            <a:extLst>
              <a:ext uri="{FF2B5EF4-FFF2-40B4-BE49-F238E27FC236}">
                <a16:creationId xmlns:a16="http://schemas.microsoft.com/office/drawing/2014/main" id="{52B705BD-AA93-46B2-A8A8-D54499838EAA}"/>
              </a:ext>
            </a:extLst>
          </xdr:cNvPr>
          <xdr:cNvSpPr txBox="1"/>
        </xdr:nvSpPr>
        <xdr:spPr bwMode="auto">
          <a:xfrm>
            <a:off x="5771371" y="10093766"/>
            <a:ext cx="3390929" cy="598504"/>
          </a:xfrm>
          <a:prstGeom prst="rect">
            <a:avLst/>
          </a:prstGeom>
          <a:solidFill>
            <a:sysClr val="window" lastClr="FFFFFF">
              <a:alpha val="80000"/>
            </a:sysClr>
          </a:solidFill>
          <a:ln w="9525" cmpd="sng">
            <a:noFill/>
          </a:ln>
          <a:effectLst/>
        </xdr:spPr>
        <xdr:txBody>
          <a:bodyPr vertOverflow="clip" horzOverflow="clip" wrap="squar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CO" sz="1200" b="1" i="0" u="none" strike="noStrike" kern="0" cap="none" spc="0" normalizeH="0" baseline="0" noProof="0">
                <a:ln>
                  <a:noFill/>
                </a:ln>
                <a:solidFill>
                  <a:srgbClr val="006600"/>
                </a:solidFill>
                <a:effectLst/>
                <a:uLnTx/>
                <a:uFillTx/>
                <a:latin typeface="Calibri"/>
                <a:ea typeface="+mn-ea"/>
                <a:cs typeface="+mn-cs"/>
              </a:rPr>
              <a:t>Base de Datos Cod: DOC_02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CO" sz="1200" b="1" i="0" u="none" strike="noStrike" kern="0" cap="none" spc="0" normalizeH="0" baseline="0" noProof="0">
                <a:ln>
                  <a:noFill/>
                </a:ln>
                <a:solidFill>
                  <a:srgbClr val="006600"/>
                </a:solidFill>
                <a:effectLst/>
                <a:uLnTx/>
                <a:uFillTx/>
                <a:latin typeface="Calibri"/>
                <a:ea typeface="+mn-ea"/>
                <a:cs typeface="+mn-cs"/>
              </a:rPr>
              <a:t>(PRODUCTIVIDAD OBRA ARTÍSTICA)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CO" sz="1200" b="1" i="0" u="none" strike="noStrike" kern="0" cap="none" spc="0" normalizeH="0" baseline="0">
                <a:ln>
                  <a:noFill/>
                </a:ln>
                <a:solidFill>
                  <a:srgbClr val="006600"/>
                </a:solidFill>
                <a:effectLst/>
                <a:uLnTx/>
                <a:uFillTx/>
                <a:latin typeface="Calibri"/>
                <a:ea typeface="+mn-ea"/>
                <a:cs typeface="+mn-cs"/>
              </a:rPr>
              <a:t>Cuadro No.5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CO" sz="1200" b="1" i="0" u="none" strike="noStrike" kern="0" cap="none" spc="0" normalizeH="0" baseline="0" noProof="0">
              <a:ln>
                <a:noFill/>
              </a:ln>
              <a:solidFill>
                <a:srgbClr val="006600"/>
              </a:solidFill>
              <a:effectLst/>
              <a:uLnTx/>
              <a:uFillTx/>
              <a:latin typeface="Calibri"/>
              <a:ea typeface="+mn-ea"/>
              <a:cs typeface="+mn-cs"/>
            </a:endParaRPr>
          </a:p>
        </xdr:txBody>
      </xdr:sp>
      <xdr:grpSp>
        <xdr:nvGrpSpPr>
          <xdr:cNvPr id="7" name="27 Grupo">
            <a:extLst>
              <a:ext uri="{FF2B5EF4-FFF2-40B4-BE49-F238E27FC236}">
                <a16:creationId xmlns:a16="http://schemas.microsoft.com/office/drawing/2014/main" id="{7D188E31-118B-4A1B-95E8-4E849C69D010}"/>
              </a:ext>
            </a:extLst>
          </xdr:cNvPr>
          <xdr:cNvGrpSpPr>
            <a:grpSpLocks/>
          </xdr:cNvGrpSpPr>
        </xdr:nvGrpSpPr>
        <xdr:grpSpPr bwMode="auto">
          <a:xfrm>
            <a:off x="3826429" y="10168218"/>
            <a:ext cx="962406" cy="590550"/>
            <a:chOff x="1991021" y="2705056"/>
            <a:chExt cx="1500859" cy="972913"/>
          </a:xfrm>
        </xdr:grpSpPr>
        <xdr:pic>
          <xdr:nvPicPr>
            <xdr:cNvPr id="8" name="Picture 1" descr="logo de la universidad del quindio">
              <a:extLst>
                <a:ext uri="{FF2B5EF4-FFF2-40B4-BE49-F238E27FC236}">
                  <a16:creationId xmlns:a16="http://schemas.microsoft.com/office/drawing/2014/main" id="{3A842CA8-BD45-41A9-878E-750DE8486041}"/>
                </a:ext>
              </a:extLst>
            </xdr:cNvPr>
            <xdr:cNvPicPr>
              <a:picLocks noChangeAspect="1" noChangeArrowheads="1"/>
            </xdr:cNvPicPr>
          </xdr:nvPicPr>
          <xdr:blipFill rotWithShape="1">
            <a:blip xmlns:r="http://schemas.openxmlformats.org/officeDocument/2006/relationships" r:embed="rId3" cstate="print">
              <a:duotone>
                <a:srgbClr val="9BBB59">
                  <a:shade val="45000"/>
                  <a:satMod val="135000"/>
                </a:srgbClr>
                <a:prstClr val="white"/>
              </a:duotone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b="22568"/>
            <a:stretch/>
          </xdr:blipFill>
          <xdr:spPr bwMode="auto">
            <a:xfrm>
              <a:off x="1991021" y="2705056"/>
              <a:ext cx="407588" cy="352423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9" name="Picture 1" descr="logo de la universidad del quindio">
              <a:extLst>
                <a:ext uri="{FF2B5EF4-FFF2-40B4-BE49-F238E27FC236}">
                  <a16:creationId xmlns:a16="http://schemas.microsoft.com/office/drawing/2014/main" id="{6696BEE3-6D86-4712-8595-2CA24A48EE08}"/>
                </a:ext>
              </a:extLst>
            </xdr:cNvPr>
            <xdr:cNvPicPr>
              <a:picLocks noChangeAspect="1" noChangeArrowheads="1"/>
            </xdr:cNvPicPr>
          </xdr:nvPicPr>
          <xdr:blipFill rotWithShape="1">
            <a:blip xmlns:r="http://schemas.openxmlformats.org/officeDocument/2006/relationships" r:embed="rId4" cstate="print">
              <a:duotone>
                <a:srgbClr val="EEECE1">
                  <a:shade val="45000"/>
                  <a:satMod val="135000"/>
                </a:srgbClr>
                <a:prstClr val="white"/>
              </a:duotone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b="22568"/>
            <a:stretch/>
          </xdr:blipFill>
          <xdr:spPr bwMode="auto">
            <a:xfrm>
              <a:off x="2484039" y="2899048"/>
              <a:ext cx="275320" cy="238056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0" name="Picture 1" descr="logo de la universidad del quindio">
              <a:extLst>
                <a:ext uri="{FF2B5EF4-FFF2-40B4-BE49-F238E27FC236}">
                  <a16:creationId xmlns:a16="http://schemas.microsoft.com/office/drawing/2014/main" id="{169AB914-54C7-47A3-9719-9715EB1585CC}"/>
                </a:ext>
              </a:extLst>
            </xdr:cNvPr>
            <xdr:cNvPicPr>
              <a:picLocks noChangeAspect="1" noChangeArrowheads="1"/>
            </xdr:cNvPicPr>
          </xdr:nvPicPr>
          <xdr:blipFill rotWithShape="1">
            <a:blip xmlns:r="http://schemas.openxmlformats.org/officeDocument/2006/relationships" r:embed="rId5" cstate="print">
              <a:duotone>
                <a:srgbClr val="4F81BD">
                  <a:shade val="45000"/>
                  <a:satMod val="135000"/>
                </a:srgbClr>
                <a:prstClr val="white"/>
              </a:duotone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b="22568"/>
            <a:stretch/>
          </xdr:blipFill>
          <xdr:spPr bwMode="auto">
            <a:xfrm>
              <a:off x="2145307" y="3511146"/>
              <a:ext cx="192936" cy="166823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1" name="Picture 1" descr="logo de la universidad del quindio">
              <a:extLst>
                <a:ext uri="{FF2B5EF4-FFF2-40B4-BE49-F238E27FC236}">
                  <a16:creationId xmlns:a16="http://schemas.microsoft.com/office/drawing/2014/main" id="{C74E8264-9E8B-442D-8EE5-D7235EAA31C9}"/>
                </a:ext>
              </a:extLst>
            </xdr:cNvPr>
            <xdr:cNvPicPr>
              <a:picLocks noChangeAspect="1" noChangeArrowheads="1"/>
            </xdr:cNvPicPr>
          </xdr:nvPicPr>
          <xdr:blipFill rotWithShape="1">
            <a:blip xmlns:r="http://schemas.openxmlformats.org/officeDocument/2006/relationships" r:embed="rId6" cstate="print">
              <a:duotone>
                <a:srgbClr val="8064A2">
                  <a:shade val="45000"/>
                  <a:satMod val="135000"/>
                </a:srgbClr>
                <a:prstClr val="white"/>
              </a:duotone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b="22568"/>
            <a:stretch/>
          </xdr:blipFill>
          <xdr:spPr bwMode="auto">
            <a:xfrm>
              <a:off x="2627784" y="3175177"/>
              <a:ext cx="153371" cy="132613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2" name="Picture 1" descr="logo de la universidad del quindio">
              <a:extLst>
                <a:ext uri="{FF2B5EF4-FFF2-40B4-BE49-F238E27FC236}">
                  <a16:creationId xmlns:a16="http://schemas.microsoft.com/office/drawing/2014/main" id="{341A0BA8-2820-4AA2-8EE1-E2C3797D20AE}"/>
                </a:ext>
              </a:extLst>
            </xdr:cNvPr>
            <xdr:cNvPicPr>
              <a:picLocks noChangeAspect="1" noChangeArrowheads="1"/>
            </xdr:cNvPicPr>
          </xdr:nvPicPr>
          <xdr:blipFill rotWithShape="1">
            <a:blip xmlns:r="http://schemas.openxmlformats.org/officeDocument/2006/relationships" r:embed="rId7" cstate="print">
              <a:duotone>
                <a:srgbClr val="F79646">
                  <a:shade val="45000"/>
                  <a:satMod val="135000"/>
                </a:srgbClr>
                <a:prstClr val="white"/>
              </a:duotone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b="22568"/>
            <a:stretch/>
          </xdr:blipFill>
          <xdr:spPr bwMode="auto">
            <a:xfrm>
              <a:off x="2195737" y="3141742"/>
              <a:ext cx="275319" cy="238056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3" name="Picture 1" descr="logo de la universidad del quindio">
              <a:extLst>
                <a:ext uri="{FF2B5EF4-FFF2-40B4-BE49-F238E27FC236}">
                  <a16:creationId xmlns:a16="http://schemas.microsoft.com/office/drawing/2014/main" id="{6DE07EF1-5BC9-4103-9AFF-6DBA04959D81}"/>
                </a:ext>
              </a:extLst>
            </xdr:cNvPr>
            <xdr:cNvPicPr>
              <a:picLocks noChangeAspect="1" noChangeArrowheads="1"/>
            </xdr:cNvPicPr>
          </xdr:nvPicPr>
          <xdr:blipFill rotWithShape="1">
            <a:blip xmlns:r="http://schemas.openxmlformats.org/officeDocument/2006/relationships" r:embed="rId8" cstate="print">
              <a:duotone>
                <a:srgbClr val="4F81BD">
                  <a:shade val="45000"/>
                  <a:satMod val="135000"/>
                </a:srgbClr>
                <a:prstClr val="white"/>
              </a:duotone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b="22568"/>
            <a:stretch/>
          </xdr:blipFill>
          <xdr:spPr bwMode="auto">
            <a:xfrm>
              <a:off x="2988957" y="2722391"/>
              <a:ext cx="140183" cy="121211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4" name="Picture 1" descr="logo de la universidad del quindio">
              <a:extLst>
                <a:ext uri="{FF2B5EF4-FFF2-40B4-BE49-F238E27FC236}">
                  <a16:creationId xmlns:a16="http://schemas.microsoft.com/office/drawing/2014/main" id="{EB073C12-D4AD-48B5-AA86-02D52F7B1953}"/>
                </a:ext>
              </a:extLst>
            </xdr:cNvPr>
            <xdr:cNvPicPr>
              <a:picLocks noChangeAspect="1" noChangeArrowheads="1"/>
            </xdr:cNvPicPr>
          </xdr:nvPicPr>
          <xdr:blipFill rotWithShape="1">
            <a:blip xmlns:r="http://schemas.openxmlformats.org/officeDocument/2006/relationships" r:embed="rId9" cstate="print">
              <a:duotone>
                <a:srgbClr val="EEECE1">
                  <a:shade val="45000"/>
                  <a:satMod val="135000"/>
                </a:srgbClr>
                <a:prstClr val="white"/>
              </a:duotone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b="22568"/>
            <a:stretch/>
          </xdr:blipFill>
          <xdr:spPr bwMode="auto">
            <a:xfrm>
              <a:off x="2483768" y="3368159"/>
              <a:ext cx="180020" cy="155655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5" name="Picture 1" descr="logo de la universidad del quindio">
              <a:extLst>
                <a:ext uri="{FF2B5EF4-FFF2-40B4-BE49-F238E27FC236}">
                  <a16:creationId xmlns:a16="http://schemas.microsoft.com/office/drawing/2014/main" id="{D8EA9DBB-E223-42DB-A866-2180659D0096}"/>
                </a:ext>
              </a:extLst>
            </xdr:cNvPr>
            <xdr:cNvPicPr>
              <a:picLocks noChangeAspect="1" noChangeArrowheads="1"/>
            </xdr:cNvPicPr>
          </xdr:nvPicPr>
          <xdr:blipFill rotWithShape="1">
            <a:blip xmlns:r="http://schemas.openxmlformats.org/officeDocument/2006/relationships" r:embed="rId8" cstate="print">
              <a:duotone>
                <a:srgbClr val="9BBB59">
                  <a:shade val="45000"/>
                  <a:satMod val="135000"/>
                </a:srgbClr>
                <a:prstClr val="white"/>
              </a:duotone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b="22568"/>
            <a:stretch/>
          </xdr:blipFill>
          <xdr:spPr bwMode="auto">
            <a:xfrm>
              <a:off x="2915815" y="2998422"/>
              <a:ext cx="140183" cy="121211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6" name="Picture 1" descr="logo de la universidad del quindio">
              <a:extLst>
                <a:ext uri="{FF2B5EF4-FFF2-40B4-BE49-F238E27FC236}">
                  <a16:creationId xmlns:a16="http://schemas.microsoft.com/office/drawing/2014/main" id="{8381756F-AC02-4062-B5C0-3209C1891CFC}"/>
                </a:ext>
              </a:extLst>
            </xdr:cNvPr>
            <xdr:cNvPicPr>
              <a:picLocks noChangeAspect="1" noChangeArrowheads="1"/>
            </xdr:cNvPicPr>
          </xdr:nvPicPr>
          <xdr:blipFill rotWithShape="1">
            <a:blip xmlns:r="http://schemas.openxmlformats.org/officeDocument/2006/relationships" r:embed="rId10" cstate="print">
              <a:duotone>
                <a:srgbClr val="8064A2">
                  <a:shade val="45000"/>
                  <a:satMod val="135000"/>
                </a:srgbClr>
                <a:prstClr val="white"/>
              </a:duotone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b="22568"/>
            <a:stretch/>
          </xdr:blipFill>
          <xdr:spPr bwMode="auto">
            <a:xfrm>
              <a:off x="2544505" y="2731726"/>
              <a:ext cx="83279" cy="72008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7" name="Picture 1" descr="logo de la universidad del quindio">
              <a:extLst>
                <a:ext uri="{FF2B5EF4-FFF2-40B4-BE49-F238E27FC236}">
                  <a16:creationId xmlns:a16="http://schemas.microsoft.com/office/drawing/2014/main" id="{9DDE8F71-49B4-428B-AAC9-50AA8FD7A6FB}"/>
                </a:ext>
              </a:extLst>
            </xdr:cNvPr>
            <xdr:cNvPicPr>
              <a:picLocks noChangeAspect="1" noChangeArrowheads="1"/>
            </xdr:cNvPicPr>
          </xdr:nvPicPr>
          <xdr:blipFill rotWithShape="1">
            <a:blip xmlns:r="http://schemas.openxmlformats.org/officeDocument/2006/relationships" r:embed="rId8" cstate="print">
              <a:duotone>
                <a:srgbClr val="F79646">
                  <a:shade val="45000"/>
                  <a:satMod val="135000"/>
                </a:srgbClr>
                <a:prstClr val="white"/>
              </a:duotone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b="22568"/>
            <a:stretch/>
          </xdr:blipFill>
          <xdr:spPr bwMode="auto">
            <a:xfrm>
              <a:off x="2771800" y="2783681"/>
              <a:ext cx="140183" cy="12121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8" name="Picture 1" descr="logo de la universidad del quindio">
              <a:extLst>
                <a:ext uri="{FF2B5EF4-FFF2-40B4-BE49-F238E27FC236}">
                  <a16:creationId xmlns:a16="http://schemas.microsoft.com/office/drawing/2014/main" id="{EEB7623D-DFB3-4472-AC76-4BF35892F4CB}"/>
                </a:ext>
              </a:extLst>
            </xdr:cNvPr>
            <xdr:cNvPicPr>
              <a:picLocks noChangeAspect="1" noChangeArrowheads="1"/>
            </xdr:cNvPicPr>
          </xdr:nvPicPr>
          <xdr:blipFill rotWithShape="1">
            <a:blip xmlns:r="http://schemas.openxmlformats.org/officeDocument/2006/relationships" r:embed="rId10" cstate="print">
              <a:duotone>
                <a:srgbClr val="8064A2">
                  <a:shade val="45000"/>
                  <a:satMod val="135000"/>
                </a:srgbClr>
                <a:prstClr val="white"/>
              </a:duotone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b="22568"/>
            <a:stretch/>
          </xdr:blipFill>
          <xdr:spPr bwMode="auto">
            <a:xfrm>
              <a:off x="3132217" y="2892410"/>
              <a:ext cx="83279" cy="72008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9" name="Picture 1" descr="logo de la universidad del quindio">
              <a:extLst>
                <a:ext uri="{FF2B5EF4-FFF2-40B4-BE49-F238E27FC236}">
                  <a16:creationId xmlns:a16="http://schemas.microsoft.com/office/drawing/2014/main" id="{9FCD3802-8648-4DCF-A15A-1FC4715B63E3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0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b="22568"/>
            <a:stretch>
              <a:fillRect/>
            </a:stretch>
          </xdr:blipFill>
          <xdr:spPr bwMode="auto">
            <a:xfrm>
              <a:off x="3408601" y="2876939"/>
              <a:ext cx="83279" cy="72008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</xdr:grpSp>
    </xdr:grp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28576</xdr:rowOff>
    </xdr:from>
    <xdr:to>
      <xdr:col>17</xdr:col>
      <xdr:colOff>1743075</xdr:colOff>
      <xdr:row>0</xdr:row>
      <xdr:rowOff>876300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2531E3F-1396-4975-A6E8-92EEE03FC9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576"/>
          <a:ext cx="15030450" cy="847724"/>
        </a:xfrm>
        <a:prstGeom prst="rect">
          <a:avLst/>
        </a:prstGeom>
      </xdr:spPr>
    </xdr:pic>
    <xdr:clientData/>
  </xdr:twoCellAnchor>
  <xdr:twoCellAnchor>
    <xdr:from>
      <xdr:col>7</xdr:col>
      <xdr:colOff>498023</xdr:colOff>
      <xdr:row>0</xdr:row>
      <xdr:rowOff>133350</xdr:rowOff>
    </xdr:from>
    <xdr:to>
      <xdr:col>12</xdr:col>
      <xdr:colOff>352425</xdr:colOff>
      <xdr:row>0</xdr:row>
      <xdr:rowOff>866775</xdr:rowOff>
    </xdr:to>
    <xdr:sp macro="" textlink="">
      <xdr:nvSpPr>
        <xdr:cNvPr id="3" name="23 CuadroTexto">
          <a:extLst>
            <a:ext uri="{FF2B5EF4-FFF2-40B4-BE49-F238E27FC236}">
              <a16:creationId xmlns:a16="http://schemas.microsoft.com/office/drawing/2014/main" id="{C95A32EF-2B8E-455E-94B1-9E56674AFE59}"/>
            </a:ext>
          </a:extLst>
        </xdr:cNvPr>
        <xdr:cNvSpPr txBox="1"/>
      </xdr:nvSpPr>
      <xdr:spPr bwMode="auto">
        <a:xfrm>
          <a:off x="5451023" y="133350"/>
          <a:ext cx="4264477" cy="733425"/>
        </a:xfrm>
        <a:prstGeom prst="rect">
          <a:avLst/>
        </a:prstGeom>
        <a:solidFill>
          <a:sysClr val="window" lastClr="FFFFFF">
            <a:alpha val="80000"/>
          </a:sysClr>
        </a:solidFill>
        <a:ln w="9525" cmpd="sng">
          <a:noFill/>
        </a:ln>
        <a:effectLst/>
      </xdr:spPr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CO" sz="1200" b="1" i="0" u="none" strike="noStrike" kern="0" cap="none" spc="0" normalizeH="0" baseline="0" noProof="0">
              <a:ln>
                <a:noFill/>
              </a:ln>
              <a:solidFill>
                <a:srgbClr val="006600"/>
              </a:solidFill>
              <a:effectLst/>
              <a:uLnTx/>
              <a:uFillTx/>
              <a:latin typeface="+mn-lt"/>
              <a:ea typeface="+mn-ea"/>
              <a:cs typeface="Arial" panose="020B0604020202020204" pitchFamily="34" charset="0"/>
            </a:rPr>
            <a:t>Base de Datos Cod: DOC_02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CO" sz="1200" b="1" i="0" u="none" strike="noStrike" kern="0" cap="none" spc="0" normalizeH="0" baseline="0" noProof="0">
              <a:ln>
                <a:noFill/>
              </a:ln>
              <a:solidFill>
                <a:srgbClr val="006600"/>
              </a:solidFill>
              <a:effectLst/>
              <a:uLnTx/>
              <a:uFillTx/>
              <a:latin typeface="+mn-lt"/>
              <a:ea typeface="+mn-ea"/>
              <a:cs typeface="Arial" panose="020B0604020202020204" pitchFamily="34" charset="0"/>
            </a:rPr>
            <a:t>(Producción Técnica)</a:t>
          </a:r>
        </a:p>
      </xdr:txBody>
    </xdr:sp>
    <xdr:clientData/>
  </xdr:twoCellAnchor>
  <xdr:twoCellAnchor>
    <xdr:from>
      <xdr:col>14</xdr:col>
      <xdr:colOff>666751</xdr:colOff>
      <xdr:row>0</xdr:row>
      <xdr:rowOff>57150</xdr:rowOff>
    </xdr:from>
    <xdr:to>
      <xdr:col>17</xdr:col>
      <xdr:colOff>1362075</xdr:colOff>
      <xdr:row>0</xdr:row>
      <xdr:rowOff>714375</xdr:rowOff>
    </xdr:to>
    <xdr:sp macro="" textlink="">
      <xdr:nvSpPr>
        <xdr:cNvPr id="4" name="3 CuadroTexto">
          <a:extLst>
            <a:ext uri="{FF2B5EF4-FFF2-40B4-BE49-F238E27FC236}">
              <a16:creationId xmlns:a16="http://schemas.microsoft.com/office/drawing/2014/main" id="{D751ED78-32EA-4A6A-8933-5249B201D567}"/>
            </a:ext>
          </a:extLst>
        </xdr:cNvPr>
        <xdr:cNvSpPr txBox="1"/>
      </xdr:nvSpPr>
      <xdr:spPr bwMode="auto">
        <a:xfrm>
          <a:off x="11563351" y="57150"/>
          <a:ext cx="3086099" cy="657225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CO" sz="1600" b="1" i="0" u="none" strike="noStrike" kern="0" cap="none" spc="0" normalizeH="0" baseline="0" noProof="0">
              <a:ln>
                <a:noFill/>
              </a:ln>
              <a:solidFill>
                <a:srgbClr val="006600"/>
              </a:solidFill>
              <a:effectLst/>
              <a:uLnTx/>
              <a:uFillTx/>
              <a:latin typeface="Calibri"/>
              <a:ea typeface="+mn-ea"/>
              <a:cs typeface="+mn-cs"/>
            </a:rPr>
            <a:t>UNIVERSIDAD DEL QUINDIO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CO" sz="1100" b="0" i="0" u="none" strike="noStrike" kern="0" cap="none" spc="0" normalizeH="0" baseline="0" noProof="0">
              <a:ln>
                <a:noFill/>
              </a:ln>
              <a:solidFill>
                <a:srgbClr val="006600"/>
              </a:solidFill>
              <a:effectLst/>
              <a:uLnTx/>
              <a:uFillTx/>
              <a:latin typeface="Calibri"/>
              <a:ea typeface="+mn-ea"/>
              <a:cs typeface="+mn-cs"/>
            </a:rPr>
            <a:t>Oficina de Asuntos Profesorales</a:t>
          </a:r>
        </a:p>
      </xdr:txBody>
    </xdr:sp>
    <xdr:clientData/>
  </xdr:twoCellAnchor>
  <xdr:twoCellAnchor>
    <xdr:from>
      <xdr:col>1</xdr:col>
      <xdr:colOff>1361</xdr:colOff>
      <xdr:row>0</xdr:row>
      <xdr:rowOff>161924</xdr:rowOff>
    </xdr:from>
    <xdr:to>
      <xdr:col>1</xdr:col>
      <xdr:colOff>638175</xdr:colOff>
      <xdr:row>0</xdr:row>
      <xdr:rowOff>819149</xdr:rowOff>
    </xdr:to>
    <xdr:pic>
      <xdr:nvPicPr>
        <xdr:cNvPr id="5" name="Picture 1" descr="logo de la universidad del quindio">
          <a:extLst>
            <a:ext uri="{FF2B5EF4-FFF2-40B4-BE49-F238E27FC236}">
              <a16:creationId xmlns:a16="http://schemas.microsoft.com/office/drawing/2014/main" id="{2A012C52-1ED4-4DD6-B80D-CA137A1C6F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-30000"/>
        </a:blip>
        <a:srcRect/>
        <a:stretch>
          <a:fillRect/>
        </a:stretch>
      </xdr:blipFill>
      <xdr:spPr bwMode="auto">
        <a:xfrm>
          <a:off x="334736" y="161924"/>
          <a:ext cx="636814" cy="657225"/>
        </a:xfrm>
        <a:prstGeom prst="rect">
          <a:avLst/>
        </a:prstGeom>
        <a:ln>
          <a:noFill/>
        </a:ln>
        <a:effectLst>
          <a:outerShdw blurRad="292100" dist="50800" dir="2700000" sx="97000" sy="97000" algn="tl" rotWithShape="0">
            <a:srgbClr val="333333">
              <a:alpha val="5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2117</xdr:colOff>
      <xdr:row>0</xdr:row>
      <xdr:rowOff>0</xdr:rowOff>
    </xdr:from>
    <xdr:to>
      <xdr:col>17</xdr:col>
      <xdr:colOff>2133600</xdr:colOff>
      <xdr:row>1</xdr:row>
      <xdr:rowOff>2502</xdr:rowOff>
    </xdr:to>
    <xdr:grpSp>
      <xdr:nvGrpSpPr>
        <xdr:cNvPr id="2" name="1 Grupo">
          <a:extLst>
            <a:ext uri="{FF2B5EF4-FFF2-40B4-BE49-F238E27FC236}">
              <a16:creationId xmlns:a16="http://schemas.microsoft.com/office/drawing/2014/main" id="{9175CBB1-2209-475C-8900-81A3A6C2D5B4}"/>
            </a:ext>
          </a:extLst>
        </xdr:cNvPr>
        <xdr:cNvGrpSpPr/>
      </xdr:nvGrpSpPr>
      <xdr:grpSpPr>
        <a:xfrm>
          <a:off x="2117" y="0"/>
          <a:ext cx="15780808" cy="916902"/>
          <a:chOff x="2775470" y="9912087"/>
          <a:chExt cx="9310047" cy="718301"/>
        </a:xfrm>
      </xdr:grpSpPr>
      <xdr:pic>
        <xdr:nvPicPr>
          <xdr:cNvPr id="3" name="3 Imagen">
            <a:extLst>
              <a:ext uri="{FF2B5EF4-FFF2-40B4-BE49-F238E27FC236}">
                <a16:creationId xmlns:a16="http://schemas.microsoft.com/office/drawing/2014/main" id="{EA5C5F66-E42B-4490-B1AA-EEE5A8B7D204}"/>
              </a:ext>
            </a:extLst>
          </xdr:cNvPr>
          <xdr:cNvPicPr preferRelativeResize="0"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4940" t="25337" r="15240" b="14766"/>
          <a:stretch>
            <a:fillRect/>
          </a:stretch>
        </xdr:blipFill>
        <xdr:spPr bwMode="auto">
          <a:xfrm>
            <a:off x="2775470" y="9912087"/>
            <a:ext cx="9310047" cy="71830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4" name="Picture 1" descr="logo de la universidad del quindio">
            <a:extLst>
              <a:ext uri="{FF2B5EF4-FFF2-40B4-BE49-F238E27FC236}">
                <a16:creationId xmlns:a16="http://schemas.microsoft.com/office/drawing/2014/main" id="{6E4F8EFA-7D26-4EAD-BA7C-0D7A916907A3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lum bright="-30000"/>
          </a:blip>
          <a:srcRect/>
          <a:stretch>
            <a:fillRect/>
          </a:stretch>
        </xdr:blipFill>
        <xdr:spPr bwMode="auto">
          <a:xfrm>
            <a:off x="3034615" y="10046829"/>
            <a:ext cx="422527" cy="537663"/>
          </a:xfrm>
          <a:prstGeom prst="rect">
            <a:avLst/>
          </a:prstGeom>
          <a:ln>
            <a:noFill/>
          </a:ln>
          <a:effectLst>
            <a:outerShdw blurRad="292100" dist="50800" dir="2700000" sx="97000" sy="97000" algn="tl" rotWithShape="0">
              <a:srgbClr val="333333">
                <a:alpha val="50000"/>
              </a:srgbClr>
            </a:outerShdw>
          </a:effectLst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grpSp>
        <xdr:nvGrpSpPr>
          <xdr:cNvPr id="5" name="27 Grupo">
            <a:extLst>
              <a:ext uri="{FF2B5EF4-FFF2-40B4-BE49-F238E27FC236}">
                <a16:creationId xmlns:a16="http://schemas.microsoft.com/office/drawing/2014/main" id="{1D70E919-53E6-4934-9E37-F064B6A0786A}"/>
              </a:ext>
            </a:extLst>
          </xdr:cNvPr>
          <xdr:cNvGrpSpPr>
            <a:grpSpLocks/>
          </xdr:cNvGrpSpPr>
        </xdr:nvGrpSpPr>
        <xdr:grpSpPr bwMode="auto">
          <a:xfrm>
            <a:off x="3783086" y="10168216"/>
            <a:ext cx="1005750" cy="459278"/>
            <a:chOff x="1923427" y="2705056"/>
            <a:chExt cx="1568453" cy="756647"/>
          </a:xfrm>
        </xdr:grpSpPr>
        <xdr:pic>
          <xdr:nvPicPr>
            <xdr:cNvPr id="6" name="Picture 1" descr="logo de la universidad del quindio">
              <a:extLst>
                <a:ext uri="{FF2B5EF4-FFF2-40B4-BE49-F238E27FC236}">
                  <a16:creationId xmlns:a16="http://schemas.microsoft.com/office/drawing/2014/main" id="{8B2E87B0-9C9B-4D13-9868-828C9C88D367}"/>
                </a:ext>
              </a:extLst>
            </xdr:cNvPr>
            <xdr:cNvPicPr>
              <a:picLocks noChangeAspect="1" noChangeArrowheads="1"/>
            </xdr:cNvPicPr>
          </xdr:nvPicPr>
          <xdr:blipFill rotWithShape="1">
            <a:blip xmlns:r="http://schemas.openxmlformats.org/officeDocument/2006/relationships" r:embed="rId3" cstate="print">
              <a:duotone>
                <a:srgbClr val="9BBB59">
                  <a:shade val="45000"/>
                  <a:satMod val="135000"/>
                </a:srgbClr>
                <a:prstClr val="white"/>
              </a:duotone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b="22568"/>
            <a:stretch/>
          </xdr:blipFill>
          <xdr:spPr bwMode="auto">
            <a:xfrm>
              <a:off x="1991021" y="2705056"/>
              <a:ext cx="407588" cy="352423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7" name="Picture 1" descr="logo de la universidad del quindio">
              <a:extLst>
                <a:ext uri="{FF2B5EF4-FFF2-40B4-BE49-F238E27FC236}">
                  <a16:creationId xmlns:a16="http://schemas.microsoft.com/office/drawing/2014/main" id="{53D34A78-81D6-4785-8FD9-0BF4901788C1}"/>
                </a:ext>
              </a:extLst>
            </xdr:cNvPr>
            <xdr:cNvPicPr>
              <a:picLocks noChangeAspect="1" noChangeArrowheads="1"/>
            </xdr:cNvPicPr>
          </xdr:nvPicPr>
          <xdr:blipFill rotWithShape="1">
            <a:blip xmlns:r="http://schemas.openxmlformats.org/officeDocument/2006/relationships" r:embed="rId4" cstate="print">
              <a:duotone>
                <a:srgbClr val="EEECE1">
                  <a:shade val="45000"/>
                  <a:satMod val="135000"/>
                </a:srgbClr>
                <a:prstClr val="white"/>
              </a:duotone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b="22568"/>
            <a:stretch/>
          </xdr:blipFill>
          <xdr:spPr bwMode="auto">
            <a:xfrm>
              <a:off x="2484039" y="2899048"/>
              <a:ext cx="275320" cy="238056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8" name="Picture 1" descr="logo de la universidad del quindio">
              <a:extLst>
                <a:ext uri="{FF2B5EF4-FFF2-40B4-BE49-F238E27FC236}">
                  <a16:creationId xmlns:a16="http://schemas.microsoft.com/office/drawing/2014/main" id="{22350D9C-BD09-4C76-B30C-6EDE4FB57A93}"/>
                </a:ext>
              </a:extLst>
            </xdr:cNvPr>
            <xdr:cNvPicPr>
              <a:picLocks noChangeAspect="1" noChangeArrowheads="1"/>
            </xdr:cNvPicPr>
          </xdr:nvPicPr>
          <xdr:blipFill rotWithShape="1">
            <a:blip xmlns:r="http://schemas.openxmlformats.org/officeDocument/2006/relationships" r:embed="rId5" cstate="print">
              <a:duotone>
                <a:srgbClr val="4F81BD">
                  <a:shade val="45000"/>
                  <a:satMod val="135000"/>
                </a:srgbClr>
                <a:prstClr val="white"/>
              </a:duotone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b="22568"/>
            <a:stretch/>
          </xdr:blipFill>
          <xdr:spPr bwMode="auto">
            <a:xfrm>
              <a:off x="1923427" y="3287817"/>
              <a:ext cx="192936" cy="166824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9" name="Picture 1" descr="logo de la universidad del quindio">
              <a:extLst>
                <a:ext uri="{FF2B5EF4-FFF2-40B4-BE49-F238E27FC236}">
                  <a16:creationId xmlns:a16="http://schemas.microsoft.com/office/drawing/2014/main" id="{7D3FACB0-F62E-4423-88FC-346ABCE7AF9E}"/>
                </a:ext>
              </a:extLst>
            </xdr:cNvPr>
            <xdr:cNvPicPr>
              <a:picLocks noChangeAspect="1" noChangeArrowheads="1"/>
            </xdr:cNvPicPr>
          </xdr:nvPicPr>
          <xdr:blipFill rotWithShape="1">
            <a:blip xmlns:r="http://schemas.openxmlformats.org/officeDocument/2006/relationships" r:embed="rId6" cstate="print">
              <a:duotone>
                <a:srgbClr val="F79646">
                  <a:shade val="45000"/>
                  <a:satMod val="135000"/>
                </a:srgbClr>
                <a:prstClr val="white"/>
              </a:duotone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b="22568"/>
            <a:stretch/>
          </xdr:blipFill>
          <xdr:spPr bwMode="auto">
            <a:xfrm>
              <a:off x="2195737" y="3141742"/>
              <a:ext cx="275319" cy="238056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0" name="Picture 1" descr="logo de la universidad del quindio">
              <a:extLst>
                <a:ext uri="{FF2B5EF4-FFF2-40B4-BE49-F238E27FC236}">
                  <a16:creationId xmlns:a16="http://schemas.microsoft.com/office/drawing/2014/main" id="{4C2CED19-8C33-4B25-BD02-68E7082FC164}"/>
                </a:ext>
              </a:extLst>
            </xdr:cNvPr>
            <xdr:cNvPicPr>
              <a:picLocks noChangeAspect="1" noChangeArrowheads="1"/>
            </xdr:cNvPicPr>
          </xdr:nvPicPr>
          <xdr:blipFill rotWithShape="1">
            <a:blip xmlns:r="http://schemas.openxmlformats.org/officeDocument/2006/relationships" r:embed="rId7" cstate="print">
              <a:duotone>
                <a:srgbClr val="4F81BD">
                  <a:shade val="45000"/>
                  <a:satMod val="135000"/>
                </a:srgbClr>
                <a:prstClr val="white"/>
              </a:duotone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b="22568"/>
            <a:stretch/>
          </xdr:blipFill>
          <xdr:spPr bwMode="auto">
            <a:xfrm>
              <a:off x="2988957" y="2722391"/>
              <a:ext cx="140183" cy="121211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1" name="Picture 1" descr="logo de la universidad del quindio">
              <a:extLst>
                <a:ext uri="{FF2B5EF4-FFF2-40B4-BE49-F238E27FC236}">
                  <a16:creationId xmlns:a16="http://schemas.microsoft.com/office/drawing/2014/main" id="{D4221989-CB5A-46B9-B34D-EC469FF6A747}"/>
                </a:ext>
              </a:extLst>
            </xdr:cNvPr>
            <xdr:cNvPicPr>
              <a:picLocks noChangeAspect="1" noChangeArrowheads="1"/>
            </xdr:cNvPicPr>
          </xdr:nvPicPr>
          <xdr:blipFill rotWithShape="1">
            <a:blip xmlns:r="http://schemas.openxmlformats.org/officeDocument/2006/relationships" r:embed="rId8" cstate="print">
              <a:duotone>
                <a:srgbClr val="EEECE1">
                  <a:shade val="45000"/>
                  <a:satMod val="135000"/>
                </a:srgbClr>
                <a:prstClr val="white"/>
              </a:duotone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b="22568"/>
            <a:stretch/>
          </xdr:blipFill>
          <xdr:spPr bwMode="auto">
            <a:xfrm>
              <a:off x="2501029" y="3306048"/>
              <a:ext cx="180020" cy="155655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2" name="Picture 1" descr="logo de la universidad del quindio">
              <a:extLst>
                <a:ext uri="{FF2B5EF4-FFF2-40B4-BE49-F238E27FC236}">
                  <a16:creationId xmlns:a16="http://schemas.microsoft.com/office/drawing/2014/main" id="{174BF8EE-7BE0-4762-9B84-0C9AE9979AA7}"/>
                </a:ext>
              </a:extLst>
            </xdr:cNvPr>
            <xdr:cNvPicPr>
              <a:picLocks noChangeAspect="1" noChangeArrowheads="1"/>
            </xdr:cNvPicPr>
          </xdr:nvPicPr>
          <xdr:blipFill rotWithShape="1">
            <a:blip xmlns:r="http://schemas.openxmlformats.org/officeDocument/2006/relationships" r:embed="rId7" cstate="print">
              <a:duotone>
                <a:srgbClr val="9BBB59">
                  <a:shade val="45000"/>
                  <a:satMod val="135000"/>
                </a:srgbClr>
                <a:prstClr val="white"/>
              </a:duotone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b="22568"/>
            <a:stretch/>
          </xdr:blipFill>
          <xdr:spPr bwMode="auto">
            <a:xfrm>
              <a:off x="2915815" y="2998422"/>
              <a:ext cx="140183" cy="121211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3" name="Picture 1" descr="logo de la universidad del quindio">
              <a:extLst>
                <a:ext uri="{FF2B5EF4-FFF2-40B4-BE49-F238E27FC236}">
                  <a16:creationId xmlns:a16="http://schemas.microsoft.com/office/drawing/2014/main" id="{DAB9B552-8592-44C8-8D20-5A1BBE15C99C}"/>
                </a:ext>
              </a:extLst>
            </xdr:cNvPr>
            <xdr:cNvPicPr>
              <a:picLocks noChangeAspect="1" noChangeArrowheads="1"/>
            </xdr:cNvPicPr>
          </xdr:nvPicPr>
          <xdr:blipFill rotWithShape="1">
            <a:blip xmlns:r="http://schemas.openxmlformats.org/officeDocument/2006/relationships" r:embed="rId9" cstate="print">
              <a:duotone>
                <a:srgbClr val="8064A2">
                  <a:shade val="45000"/>
                  <a:satMod val="135000"/>
                </a:srgbClr>
                <a:prstClr val="white"/>
              </a:duotone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b="22568"/>
            <a:stretch/>
          </xdr:blipFill>
          <xdr:spPr bwMode="auto">
            <a:xfrm>
              <a:off x="2544505" y="2731726"/>
              <a:ext cx="83279" cy="72008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4" name="Picture 1" descr="logo de la universidad del quindio">
              <a:extLst>
                <a:ext uri="{FF2B5EF4-FFF2-40B4-BE49-F238E27FC236}">
                  <a16:creationId xmlns:a16="http://schemas.microsoft.com/office/drawing/2014/main" id="{504E300C-521F-4FEC-AAF5-7312C5AC1D1F}"/>
                </a:ext>
              </a:extLst>
            </xdr:cNvPr>
            <xdr:cNvPicPr>
              <a:picLocks noChangeAspect="1" noChangeArrowheads="1"/>
            </xdr:cNvPicPr>
          </xdr:nvPicPr>
          <xdr:blipFill rotWithShape="1">
            <a:blip xmlns:r="http://schemas.openxmlformats.org/officeDocument/2006/relationships" r:embed="rId7" cstate="print">
              <a:duotone>
                <a:srgbClr val="F79646">
                  <a:shade val="45000"/>
                  <a:satMod val="135000"/>
                </a:srgbClr>
                <a:prstClr val="white"/>
              </a:duotone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b="22568"/>
            <a:stretch/>
          </xdr:blipFill>
          <xdr:spPr bwMode="auto">
            <a:xfrm>
              <a:off x="2771800" y="2783681"/>
              <a:ext cx="140183" cy="12121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5" name="Picture 1" descr="logo de la universidad del quindio">
              <a:extLst>
                <a:ext uri="{FF2B5EF4-FFF2-40B4-BE49-F238E27FC236}">
                  <a16:creationId xmlns:a16="http://schemas.microsoft.com/office/drawing/2014/main" id="{2756C5AE-42E5-437D-B55B-56BCA27EBF3C}"/>
                </a:ext>
              </a:extLst>
            </xdr:cNvPr>
            <xdr:cNvPicPr>
              <a:picLocks noChangeAspect="1" noChangeArrowheads="1"/>
            </xdr:cNvPicPr>
          </xdr:nvPicPr>
          <xdr:blipFill rotWithShape="1">
            <a:blip xmlns:r="http://schemas.openxmlformats.org/officeDocument/2006/relationships" r:embed="rId9" cstate="print">
              <a:duotone>
                <a:srgbClr val="8064A2">
                  <a:shade val="45000"/>
                  <a:satMod val="135000"/>
                </a:srgbClr>
                <a:prstClr val="white"/>
              </a:duotone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b="22568"/>
            <a:stretch/>
          </xdr:blipFill>
          <xdr:spPr bwMode="auto">
            <a:xfrm>
              <a:off x="3132217" y="2892410"/>
              <a:ext cx="83279" cy="72008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6" name="Picture 1" descr="logo de la universidad del quindio">
              <a:extLst>
                <a:ext uri="{FF2B5EF4-FFF2-40B4-BE49-F238E27FC236}">
                  <a16:creationId xmlns:a16="http://schemas.microsoft.com/office/drawing/2014/main" id="{B23B79A7-4EB6-4901-969A-1C9C7A7EDF0C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9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b="22568"/>
            <a:stretch>
              <a:fillRect/>
            </a:stretch>
          </xdr:blipFill>
          <xdr:spPr bwMode="auto">
            <a:xfrm>
              <a:off x="3408601" y="2876939"/>
              <a:ext cx="83279" cy="72008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</xdr:grpSp>
    </xdr:grpSp>
    <xdr:clientData/>
  </xdr:twoCellAnchor>
  <xdr:twoCellAnchor>
    <xdr:from>
      <xdr:col>7</xdr:col>
      <xdr:colOff>761844</xdr:colOff>
      <xdr:row>0</xdr:row>
      <xdr:rowOff>110459</xdr:rowOff>
    </xdr:from>
    <xdr:to>
      <xdr:col>17</xdr:col>
      <xdr:colOff>1005418</xdr:colOff>
      <xdr:row>0</xdr:row>
      <xdr:rowOff>781098</xdr:rowOff>
    </xdr:to>
    <xdr:grpSp>
      <xdr:nvGrpSpPr>
        <xdr:cNvPr id="17" name="1 Grupo">
          <a:extLst>
            <a:ext uri="{FF2B5EF4-FFF2-40B4-BE49-F238E27FC236}">
              <a16:creationId xmlns:a16="http://schemas.microsoft.com/office/drawing/2014/main" id="{8CC0A40A-92A8-488E-9B45-6C90AFB023BE}"/>
            </a:ext>
          </a:extLst>
        </xdr:cNvPr>
        <xdr:cNvGrpSpPr/>
      </xdr:nvGrpSpPr>
      <xdr:grpSpPr>
        <a:xfrm>
          <a:off x="5410044" y="110459"/>
          <a:ext cx="9244699" cy="670639"/>
          <a:chOff x="6246646" y="10033995"/>
          <a:chExt cx="5982358" cy="4955580"/>
        </a:xfrm>
      </xdr:grpSpPr>
      <xdr:sp macro="" textlink="">
        <xdr:nvSpPr>
          <xdr:cNvPr id="18" name="3 CuadroTexto">
            <a:extLst>
              <a:ext uri="{FF2B5EF4-FFF2-40B4-BE49-F238E27FC236}">
                <a16:creationId xmlns:a16="http://schemas.microsoft.com/office/drawing/2014/main" id="{148C14B1-4E37-4BDD-82E6-3E96BD46A4F1}"/>
              </a:ext>
            </a:extLst>
          </xdr:cNvPr>
          <xdr:cNvSpPr txBox="1"/>
        </xdr:nvSpPr>
        <xdr:spPr bwMode="auto">
          <a:xfrm>
            <a:off x="10589776" y="10033995"/>
            <a:ext cx="1639228" cy="4955580"/>
          </a:xfrm>
          <a:prstGeom prst="rect">
            <a:avLst/>
          </a:prstGeom>
          <a:noFill/>
          <a:ln w="9525" cmpd="sng">
            <a:noFill/>
          </a:ln>
          <a:effectLst/>
        </xdr:spPr>
        <xdr:txBody>
          <a:bodyPr vertOverflow="clip" horzOverflow="clip" wrap="squar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CO" sz="1600" b="1" i="0" u="none" strike="noStrike" kern="0" cap="none" spc="0" normalizeH="0" baseline="0" noProof="0">
                <a:ln>
                  <a:noFill/>
                </a:ln>
                <a:solidFill>
                  <a:srgbClr val="006600"/>
                </a:solidFill>
                <a:effectLst/>
                <a:uLnTx/>
                <a:uFillTx/>
                <a:latin typeface="Calibri"/>
                <a:ea typeface="+mn-ea"/>
                <a:cs typeface="+mn-cs"/>
              </a:rPr>
              <a:t>UNIVERSIDAD DEL QUINDIO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CO" sz="1100" b="0" i="0" u="none" strike="noStrike" kern="0" cap="none" spc="0" normalizeH="0" baseline="0" noProof="0">
                <a:ln>
                  <a:noFill/>
                </a:ln>
                <a:solidFill>
                  <a:srgbClr val="006600"/>
                </a:solidFill>
                <a:effectLst/>
                <a:uLnTx/>
                <a:uFillTx/>
                <a:latin typeface="Calibri"/>
                <a:ea typeface="+mn-ea"/>
                <a:cs typeface="+mn-cs"/>
              </a:rPr>
              <a:t>Oficina de Asuntos Profesorales</a:t>
            </a:r>
          </a:p>
        </xdr:txBody>
      </xdr:sp>
      <xdr:sp macro="" textlink="">
        <xdr:nvSpPr>
          <xdr:cNvPr id="19" name="5 CuadroTexto">
            <a:extLst>
              <a:ext uri="{FF2B5EF4-FFF2-40B4-BE49-F238E27FC236}">
                <a16:creationId xmlns:a16="http://schemas.microsoft.com/office/drawing/2014/main" id="{E2D2A189-E502-4A7F-ABE8-2ACD177B9B5E}"/>
              </a:ext>
            </a:extLst>
          </xdr:cNvPr>
          <xdr:cNvSpPr txBox="1"/>
        </xdr:nvSpPr>
        <xdr:spPr bwMode="auto">
          <a:xfrm>
            <a:off x="6246646" y="10044458"/>
            <a:ext cx="2592765" cy="4803996"/>
          </a:xfrm>
          <a:prstGeom prst="rect">
            <a:avLst/>
          </a:prstGeom>
          <a:solidFill>
            <a:sysClr val="window" lastClr="FFFFFF">
              <a:alpha val="80000"/>
            </a:sysClr>
          </a:solidFill>
          <a:ln w="9525" cmpd="sng">
            <a:noFill/>
          </a:ln>
          <a:effectLst/>
        </xdr:spPr>
        <xdr:txBody>
          <a:bodyPr vertOverflow="clip" horzOverflow="clip" wrap="squar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CO" sz="1200" b="1" i="0" u="none" strike="noStrike" kern="0" cap="none" spc="0" normalizeH="0" baseline="0" noProof="0">
                <a:ln>
                  <a:noFill/>
                </a:ln>
                <a:solidFill>
                  <a:srgbClr val="006600"/>
                </a:solidFill>
                <a:effectLst/>
                <a:uLnTx/>
                <a:uFillTx/>
                <a:latin typeface="Calibri"/>
                <a:ea typeface="+mn-ea"/>
                <a:cs typeface="+mn-cs"/>
              </a:rPr>
              <a:t>Base de Datos Cod: DOC_02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CO" sz="1200" b="1" i="0" u="none" strike="noStrike" kern="0" cap="none" spc="0" normalizeH="0" baseline="0" noProof="0">
                <a:ln>
                  <a:noFill/>
                </a:ln>
                <a:solidFill>
                  <a:srgbClr val="006600"/>
                </a:solidFill>
                <a:effectLst/>
                <a:uLnTx/>
                <a:uFillTx/>
                <a:latin typeface="Calibri"/>
                <a:ea typeface="+mn-ea"/>
                <a:cs typeface="+mn-cs"/>
              </a:rPr>
              <a:t>(PRODUCTIVIDAD SOFTWARE)</a:t>
            </a:r>
          </a:p>
        </xdr:txBody>
      </xdr:sp>
    </xdr:grp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CBE43DB-A540-4C92-90F3-8A8499ACC434}" name="Topes_2026" displayName="Topes_2026" ref="A1:AO267" totalsRowCount="1" headerRowDxfId="103" dataDxfId="102" totalsRowDxfId="101">
  <autoFilter ref="A1:AO266" xr:uid="{DCBE43DB-A540-4C92-90F3-8A8499ACC434}"/>
  <tableColumns count="41">
    <tableColumn id="1" xr3:uid="{351FF188-D0E8-4857-A5AC-541D60BA2F5D}" name="OFICINA ASUNTOS DOCENTES" totalsRowLabel="Total" dataDxfId="100" totalsRowDxfId="48"/>
    <tableColumn id="2" xr3:uid="{71A85EDD-0172-42BD-8BA1-CD23320C0462}" name="Columna1" dataDxfId="99" totalsRowDxfId="47"/>
    <tableColumn id="3" xr3:uid="{7673C5F5-F678-4B5D-86F9-044636CA57B8}" name="Columna2" dataDxfId="98" totalsRowDxfId="46"/>
    <tableColumn id="4" xr3:uid="{BE854A29-589B-4D3C-BA7D-B184657EB1B6}" name="Columna3" dataDxfId="97" totalsRowDxfId="45"/>
    <tableColumn id="5" xr3:uid="{A764FB5E-5215-44DA-9E2E-0F847A5D079A}" name="Columna4" dataDxfId="96" totalsRowDxfId="44"/>
    <tableColumn id="6" xr3:uid="{C0D1DBD2-07BB-44C2-B77F-8C0D1E21C686}" name="Columna5" dataDxfId="95" totalsRowDxfId="43"/>
    <tableColumn id="7" xr3:uid="{AFEA862B-5E56-4C46-B530-C75BB5B77A6A}" name="Columna6" dataDxfId="94" totalsRowDxfId="42"/>
    <tableColumn id="8" xr3:uid="{F1BD2DDF-8041-4377-B034-D61996C66C4A}" name="Columna7" dataDxfId="93" totalsRowDxfId="41"/>
    <tableColumn id="9" xr3:uid="{4752E5FC-37B3-4E2B-AA9C-D19E5B1C3991}" name="Columna8" dataDxfId="92" totalsRowDxfId="40"/>
    <tableColumn id="10" xr3:uid="{AF703C04-9C6F-41CC-B4F6-E66CBA3AB068}" name="Columna9" dataDxfId="91" totalsRowDxfId="39"/>
    <tableColumn id="11" xr3:uid="{C0B3093B-DA2E-4775-B19F-A3A11875806C}" name="Columna10" dataDxfId="90" totalsRowDxfId="38"/>
    <tableColumn id="12" xr3:uid="{8646FAE2-C613-49CA-AA36-45CA7E0AAC52}" name="Columna11" dataDxfId="89" totalsRowDxfId="37"/>
    <tableColumn id="13" xr3:uid="{E8C36171-90D0-4E8F-B16B-835035FEB8E7}" name="Columna12" dataDxfId="88" totalsRowDxfId="36"/>
    <tableColumn id="14" xr3:uid="{40DE6846-51B3-45C0-8358-C225CB3F548E}" name="Columna13" dataDxfId="87" totalsRowDxfId="35"/>
    <tableColumn id="15" xr3:uid="{8C142B46-20F8-4A45-B7E2-B247856EF1A4}" name="Columna14" dataDxfId="86" totalsRowDxfId="34"/>
    <tableColumn id="16" xr3:uid="{6CE37F7D-4FA7-4404-95F9-9E74F06F9A33}" name="Columna15" dataDxfId="85" totalsRowDxfId="33"/>
    <tableColumn id="17" xr3:uid="{20D303FD-BB41-4E34-A8F7-10910293B134}" name="Columna16" dataDxfId="84" totalsRowDxfId="32"/>
    <tableColumn id="18" xr3:uid="{D6E1DDDE-37A7-4A68-B5BE-1BE2507E8B6B}" name="Columna17" dataDxfId="83" totalsRowDxfId="31"/>
    <tableColumn id="19" xr3:uid="{FC09BEAF-2760-411F-8A8F-AE8A1EE68C35}" name="Columna18" dataDxfId="82" totalsRowDxfId="30"/>
    <tableColumn id="20" xr3:uid="{3658BFFB-5F61-4468-872A-0B04AE34023D}" name="Columna19" dataDxfId="81" totalsRowDxfId="29"/>
    <tableColumn id="21" xr3:uid="{815B70EE-D478-4DE9-BB71-C4B49C34B121}" name="Columna20" dataDxfId="80" totalsRowDxfId="28"/>
    <tableColumn id="22" xr3:uid="{D636D693-E311-4E15-BCE7-F6A024637814}" name="Columna21" dataDxfId="79" totalsRowDxfId="27"/>
    <tableColumn id="23" xr3:uid="{36A7BA7C-9730-49E2-879D-691DAB94B7F5}" name="Columna22" dataDxfId="78" totalsRowDxfId="26"/>
    <tableColumn id="24" xr3:uid="{CCC5E532-A81A-4ED9-A4A8-6221F2101CEC}" name="Columna23" dataDxfId="77" totalsRowDxfId="25"/>
    <tableColumn id="25" xr3:uid="{AEAF3F8E-A854-4E15-B518-A6991348186C}" name="Columna24" dataDxfId="76" totalsRowDxfId="24"/>
    <tableColumn id="26" xr3:uid="{4F6D1C93-48AC-4A65-AE9C-4C5A5B7540BA}" name="Columna25" dataDxfId="75" totalsRowDxfId="23"/>
    <tableColumn id="27" xr3:uid="{A85564C9-D5A3-4A3A-B23B-A25B5C10412C}" name="Columna26" dataDxfId="74" totalsRowDxfId="22"/>
    <tableColumn id="28" xr3:uid="{007E0171-712B-46C3-80C6-EC242E380EFA}" name="Columna27" dataDxfId="73" totalsRowDxfId="21">
      <calculatedColumnFormula>AA2-(J2+K2+L2+M2+N2+O2+P2+Q2+R2+S2+T2+U2+V2+W2+X2+Y2+Z2)</calculatedColumnFormula>
    </tableColumn>
    <tableColumn id="29" xr3:uid="{32FAC033-B416-41AC-9649-4C8EFE5FA2D1}" name="Columna28" totalsRowFunction="sum" dataDxfId="72" totalsRowDxfId="20"/>
    <tableColumn id="30" xr3:uid="{D9531DB6-57D7-49B6-8824-840080DCAA87}" name="Columna29" dataDxfId="71" totalsRowDxfId="19"/>
    <tableColumn id="31" xr3:uid="{5360D6EC-E1C6-4D6B-A193-8C912859F6E4}" name="Columna30" dataDxfId="70" totalsRowDxfId="18"/>
    <tableColumn id="32" xr3:uid="{C9893F67-1386-481E-A966-31698A548DB1}" name="Columna31" dataDxfId="69" totalsRowDxfId="17"/>
    <tableColumn id="33" xr3:uid="{DF140245-89AF-4B72-A812-05C9380F6FD2}" name="Columna32" dataDxfId="68" totalsRowDxfId="16"/>
    <tableColumn id="34" xr3:uid="{F89F9026-06DD-47BE-9BC9-5C3989A40535}" name="Columna33" dataDxfId="67" totalsRowDxfId="15"/>
    <tableColumn id="35" xr3:uid="{57B012C1-05F8-43EE-96F6-2E94507B7EA3}" name="Columna34" dataDxfId="66" totalsRowDxfId="14"/>
    <tableColumn id="36" xr3:uid="{3B58E792-2ADD-4238-BF85-EEC1B6807B4F}" name="Columna35" dataDxfId="65" totalsRowDxfId="13"/>
    <tableColumn id="37" xr3:uid="{9D9E5887-0C56-4ABD-82E9-5741FBC57965}" name="Columna36" dataDxfId="64" totalsRowDxfId="12">
      <calculatedColumnFormula>AB2-AC2-AD2-AE2-AF2-AG2-AH2-AI2-AJ2</calculatedColumnFormula>
    </tableColumn>
    <tableColumn id="38" xr3:uid="{FF9AF2B5-79D0-4A50-98D7-77191306758C}" name="Columna37" dataDxfId="63" totalsRowDxfId="11"/>
    <tableColumn id="39" xr3:uid="{0969E20D-7EE2-40EE-9708-B0E49DBC28DE}" name="Columna38" dataDxfId="62" totalsRowDxfId="10"/>
    <tableColumn id="40" xr3:uid="{C391063F-3875-486C-A479-7AC18AA248EF}" name="Columna39" dataDxfId="61" totalsRowDxfId="9"/>
    <tableColumn id="41" xr3:uid="{CFC061D2-23EA-4054-B693-3BB4BFFD9CC5}" name="Columna40" dataDxfId="60" totalsRowDxfId="8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AD3548B-575C-404D-905D-1E2C71EE2A20}" name="Tabla6" displayName="Tabla6" ref="A1:H18" totalsRowCount="1" headerRowDxfId="59" dataDxfId="58" totalsRowDxfId="57">
  <autoFilter ref="A1:H17" xr:uid="{8AD3548B-575C-404D-905D-1E2C71EE2A20}"/>
  <tableColumns count="8">
    <tableColumn id="1" xr3:uid="{408A25D1-CF1A-419E-8866-7F1337ED7FF1}" name="Factores Salariales_x000a_Decreto 1279, artículo 12" totalsRowLabel="Total" dataDxfId="56" totalsRowDxfId="7"/>
    <tableColumn id="2" xr3:uid="{58F3C2BC-8D82-4583-89BB-1EA4ECA1D0FC}" name="Productividad académica" dataDxfId="55" totalsRowDxfId="6"/>
    <tableColumn id="6" xr3:uid="{14DF51D6-0B0B-49B6-89E0-050D89351C2B}" name="No. de productos" totalsRowFunction="sum" dataDxfId="54" totalsRowDxfId="5"/>
    <tableColumn id="3" xr3:uid="{4999D02A-EBB1-43CA-8FF5-84CF5E24235F}" name="Puntos asignados CIARP 01- 18/03/2026" totalsRowFunction="sum" dataDxfId="53" totalsRowDxfId="4"/>
    <tableColumn id="4" xr3:uid="{608AD475-7857-49AA-A8F0-B8D71E7DEB9F}" name="Columna2" totalsRowFunction="sum" dataDxfId="52" totalsRowDxfId="3"/>
    <tableColumn id="7" xr3:uid="{27557A6C-81FD-4042-A576-E51F755B33C1}" name="Columna3" dataDxfId="51" totalsRowDxfId="2"/>
    <tableColumn id="8" xr3:uid="{024E949B-0AFF-4363-9E73-356C0FE68F84}" name="Columna4" dataDxfId="50" totalsRowDxfId="1"/>
    <tableColumn id="5" xr3:uid="{53065C9A-6AC9-49C8-A10E-4A03EF4CDE5B}" name="Total" totalsRowFunction="sum" dataDxfId="49" totalsRowDxfId="0">
      <calculatedColumnFormula>SUM(Tabla6[[#This Row],[Puntos asignados CIARP 01- 18/03/2026]:[Columna3]])</calculatedColumnFormula>
    </tableColumn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scienti.minciencias.gov.co/publindex/" TargetMode="External"/><Relationship Id="rId13" Type="http://schemas.openxmlformats.org/officeDocument/2006/relationships/hyperlink" Target="https://scienti.minciencias.gov.co/publindex/" TargetMode="External"/><Relationship Id="rId3" Type="http://schemas.openxmlformats.org/officeDocument/2006/relationships/hyperlink" Target="https://scienti.minciencias.gov.co/publindex/" TargetMode="External"/><Relationship Id="rId7" Type="http://schemas.openxmlformats.org/officeDocument/2006/relationships/hyperlink" Target="https://scienti.minciencias.gov.co/publindex/" TargetMode="External"/><Relationship Id="rId12" Type="http://schemas.openxmlformats.org/officeDocument/2006/relationships/hyperlink" Target="https://scienti.minciencias.gov.co/publindex/" TargetMode="External"/><Relationship Id="rId2" Type="http://schemas.openxmlformats.org/officeDocument/2006/relationships/hyperlink" Target="https://scienti.minciencias.gov.co/publindex/" TargetMode="External"/><Relationship Id="rId1" Type="http://schemas.openxmlformats.org/officeDocument/2006/relationships/hyperlink" Target="https://scienti.minciencias.gov.co/publindex/" TargetMode="External"/><Relationship Id="rId6" Type="http://schemas.openxmlformats.org/officeDocument/2006/relationships/hyperlink" Target="https://scienti.minciencias.gov.co/publindex/" TargetMode="External"/><Relationship Id="rId11" Type="http://schemas.openxmlformats.org/officeDocument/2006/relationships/hyperlink" Target="https://scienti.minciencias.gov.co/publindex/" TargetMode="External"/><Relationship Id="rId5" Type="http://schemas.openxmlformats.org/officeDocument/2006/relationships/hyperlink" Target="https://scienti.minciencias.gov.co/publindex/" TargetMode="External"/><Relationship Id="rId15" Type="http://schemas.openxmlformats.org/officeDocument/2006/relationships/drawing" Target="../drawings/drawing3.xml"/><Relationship Id="rId10" Type="http://schemas.openxmlformats.org/officeDocument/2006/relationships/hyperlink" Target="https://scienti.minciencias.gov.co/publindex/" TargetMode="External"/><Relationship Id="rId4" Type="http://schemas.openxmlformats.org/officeDocument/2006/relationships/hyperlink" Target="https://scienti.minciencias.gov.co/publindex/" TargetMode="External"/><Relationship Id="rId9" Type="http://schemas.openxmlformats.org/officeDocument/2006/relationships/hyperlink" Target="https://scienti.minciencias.gov.co/publindex/" TargetMode="External"/><Relationship Id="rId14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2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E0CAA-4098-4155-AB73-986DE4AF0E96}">
  <dimension ref="A1:AO270"/>
  <sheetViews>
    <sheetView topLeftCell="A4" zoomScaleNormal="100" workbookViewId="0">
      <pane ySplit="1" topLeftCell="A5" activePane="bottomLeft" state="frozen"/>
      <selection activeCell="A4" sqref="A4"/>
      <selection pane="bottomLeft" activeCell="E274" sqref="E274"/>
    </sheetView>
  </sheetViews>
  <sheetFormatPr baseColWidth="10" defaultColWidth="14.42578125" defaultRowHeight="12.75" outlineLevelCol="1" x14ac:dyDescent="0.2"/>
  <cols>
    <col min="1" max="1" width="7.140625" style="16" customWidth="1"/>
    <col min="2" max="2" width="34.5703125" style="173" customWidth="1"/>
    <col min="3" max="3" width="12.42578125" style="16" bestFit="1" customWidth="1"/>
    <col min="4" max="4" width="26" style="16" customWidth="1"/>
    <col min="5" max="5" width="22.42578125" style="173" bestFit="1" customWidth="1"/>
    <col min="6" max="6" width="15" style="16" customWidth="1"/>
    <col min="7" max="7" width="7.28515625" style="16" customWidth="1"/>
    <col min="8" max="8" width="12" style="16" customWidth="1"/>
    <col min="9" max="9" width="10.5703125" style="16" customWidth="1"/>
    <col min="10" max="12" width="11.42578125" style="16" hidden="1" customWidth="1" outlineLevel="1"/>
    <col min="13" max="13" width="9.140625" style="16" hidden="1" customWidth="1" outlineLevel="1"/>
    <col min="14" max="14" width="12.140625" style="16" hidden="1" customWidth="1" outlineLevel="1"/>
    <col min="15" max="15" width="10.42578125" style="16" hidden="1" customWidth="1" outlineLevel="1"/>
    <col min="16" max="16" width="9.140625" style="16" hidden="1" customWidth="1" outlineLevel="1"/>
    <col min="17" max="17" width="11.42578125" style="16" hidden="1" customWidth="1" outlineLevel="1"/>
    <col min="18" max="26" width="14.5703125" style="16" hidden="1" customWidth="1" outlineLevel="1"/>
    <col min="27" max="27" width="8.7109375" style="16" customWidth="1" collapsed="1"/>
    <col min="28" max="28" width="14.28515625" style="16" customWidth="1"/>
    <col min="29" max="29" width="10.5703125" style="16" customWidth="1"/>
    <col min="30" max="33" width="16.28515625" style="16" hidden="1" customWidth="1"/>
    <col min="34" max="34" width="16.7109375" style="16" hidden="1" customWidth="1"/>
    <col min="35" max="35" width="16.28515625" style="16" hidden="1" customWidth="1"/>
    <col min="36" max="36" width="15.7109375" style="16" hidden="1" customWidth="1"/>
    <col min="37" max="37" width="13" style="16" customWidth="1"/>
    <col min="38" max="38" width="13.28515625" style="16" customWidth="1"/>
    <col min="39" max="39" width="13" style="16" customWidth="1"/>
    <col min="40" max="40" width="29.140625" style="16" bestFit="1" customWidth="1"/>
    <col min="41" max="41" width="42.7109375" style="16" customWidth="1"/>
    <col min="42" max="16384" width="14.42578125" style="16"/>
  </cols>
  <sheetData>
    <row r="1" spans="1:41" ht="18" hidden="1" customHeight="1" x14ac:dyDescent="0.2">
      <c r="A1" s="152" t="s">
        <v>146</v>
      </c>
      <c r="B1" s="16" t="s">
        <v>97</v>
      </c>
      <c r="C1" s="16" t="s">
        <v>98</v>
      </c>
      <c r="D1" s="16" t="s">
        <v>99</v>
      </c>
      <c r="E1" s="16" t="s">
        <v>100</v>
      </c>
      <c r="F1" s="16" t="s">
        <v>101</v>
      </c>
      <c r="G1" s="16" t="s">
        <v>102</v>
      </c>
      <c r="H1" s="16" t="s">
        <v>103</v>
      </c>
      <c r="I1" s="16" t="s">
        <v>104</v>
      </c>
      <c r="J1" s="16" t="s">
        <v>105</v>
      </c>
      <c r="K1" s="16" t="s">
        <v>106</v>
      </c>
      <c r="L1" s="16" t="s">
        <v>107</v>
      </c>
      <c r="M1" s="16" t="s">
        <v>108</v>
      </c>
      <c r="N1" s="16" t="s">
        <v>109</v>
      </c>
      <c r="O1" s="16" t="s">
        <v>110</v>
      </c>
      <c r="P1" s="16" t="s">
        <v>111</v>
      </c>
      <c r="Q1" s="16" t="s">
        <v>112</v>
      </c>
      <c r="R1" s="16" t="s">
        <v>113</v>
      </c>
      <c r="S1" s="16" t="s">
        <v>114</v>
      </c>
      <c r="T1" s="16" t="s">
        <v>115</v>
      </c>
      <c r="U1" s="16" t="s">
        <v>116</v>
      </c>
      <c r="V1" s="16" t="s">
        <v>117</v>
      </c>
      <c r="W1" s="16" t="s">
        <v>118</v>
      </c>
      <c r="X1" s="16" t="s">
        <v>119</v>
      </c>
      <c r="Y1" s="16" t="s">
        <v>120</v>
      </c>
      <c r="Z1" s="16" t="s">
        <v>121</v>
      </c>
      <c r="AA1" s="16" t="s">
        <v>122</v>
      </c>
      <c r="AB1" s="16" t="s">
        <v>508</v>
      </c>
      <c r="AC1" s="16" t="s">
        <v>509</v>
      </c>
      <c r="AD1" s="16" t="s">
        <v>510</v>
      </c>
      <c r="AE1" s="16" t="s">
        <v>511</v>
      </c>
      <c r="AF1" s="16" t="s">
        <v>512</v>
      </c>
      <c r="AG1" s="16" t="s">
        <v>513</v>
      </c>
      <c r="AH1" s="16" t="s">
        <v>514</v>
      </c>
      <c r="AI1" s="16" t="s">
        <v>515</v>
      </c>
      <c r="AJ1" s="16" t="s">
        <v>516</v>
      </c>
      <c r="AK1" s="16" t="s">
        <v>517</v>
      </c>
      <c r="AL1" s="16" t="s">
        <v>518</v>
      </c>
      <c r="AM1" s="16" t="s">
        <v>519</v>
      </c>
      <c r="AN1" s="16" t="s">
        <v>520</v>
      </c>
      <c r="AO1" s="16" t="s">
        <v>521</v>
      </c>
    </row>
    <row r="2" spans="1:41" ht="18" hidden="1" customHeight="1" x14ac:dyDescent="0.2">
      <c r="A2" s="202" t="s">
        <v>147</v>
      </c>
      <c r="B2" s="16"/>
      <c r="E2" s="16"/>
    </row>
    <row r="3" spans="1:41" ht="19.5" hidden="1" customHeight="1" x14ac:dyDescent="0.2">
      <c r="A3" s="166" t="s">
        <v>530</v>
      </c>
      <c r="B3" s="167"/>
      <c r="C3" s="167"/>
      <c r="D3" s="167"/>
      <c r="E3" s="167"/>
      <c r="F3" s="167"/>
      <c r="G3" s="167"/>
      <c r="H3" s="167"/>
      <c r="I3" s="167"/>
      <c r="J3" s="167"/>
      <c r="K3" s="167"/>
      <c r="L3" s="167"/>
      <c r="M3" s="167"/>
      <c r="N3" s="167"/>
      <c r="O3" s="167"/>
      <c r="P3" s="167"/>
      <c r="Q3" s="167"/>
      <c r="R3" s="167"/>
      <c r="S3" s="167"/>
      <c r="T3" s="167"/>
      <c r="U3" s="167"/>
      <c r="V3" s="167"/>
      <c r="W3" s="167"/>
      <c r="X3" s="167"/>
      <c r="Y3" s="167"/>
      <c r="Z3" s="167"/>
      <c r="AA3" s="167"/>
      <c r="AB3" s="167"/>
      <c r="AC3" s="167"/>
      <c r="AD3" s="167"/>
      <c r="AE3" s="167"/>
      <c r="AF3" s="167"/>
      <c r="AG3" s="167"/>
      <c r="AH3" s="167"/>
      <c r="AI3" s="167"/>
      <c r="AJ3" s="167"/>
      <c r="AK3" s="167"/>
      <c r="AL3" s="167"/>
      <c r="AM3" s="167"/>
      <c r="AN3" s="167"/>
      <c r="AO3" s="167"/>
    </row>
    <row r="4" spans="1:41" ht="51" x14ac:dyDescent="0.2">
      <c r="A4" s="163" t="s">
        <v>5</v>
      </c>
      <c r="B4" s="163" t="s">
        <v>148</v>
      </c>
      <c r="C4" s="163" t="s">
        <v>149</v>
      </c>
      <c r="D4" s="163" t="s">
        <v>150</v>
      </c>
      <c r="E4" s="163" t="s">
        <v>2</v>
      </c>
      <c r="F4" s="163" t="s">
        <v>4</v>
      </c>
      <c r="G4" s="163" t="s">
        <v>151</v>
      </c>
      <c r="H4" s="163" t="s">
        <v>152</v>
      </c>
      <c r="I4" s="163" t="s">
        <v>87</v>
      </c>
      <c r="J4" s="163" t="s">
        <v>153</v>
      </c>
      <c r="K4" s="163" t="s">
        <v>154</v>
      </c>
      <c r="L4" s="163" t="s">
        <v>155</v>
      </c>
      <c r="M4" s="163" t="s">
        <v>156</v>
      </c>
      <c r="N4" s="163" t="s">
        <v>157</v>
      </c>
      <c r="O4" s="163" t="s">
        <v>158</v>
      </c>
      <c r="P4" s="163" t="s">
        <v>159</v>
      </c>
      <c r="Q4" s="163" t="s">
        <v>160</v>
      </c>
      <c r="R4" s="163" t="s">
        <v>161</v>
      </c>
      <c r="S4" s="163" t="s">
        <v>162</v>
      </c>
      <c r="T4" s="163" t="s">
        <v>163</v>
      </c>
      <c r="U4" s="163" t="s">
        <v>164</v>
      </c>
      <c r="V4" s="163" t="s">
        <v>165</v>
      </c>
      <c r="W4" s="163" t="s">
        <v>166</v>
      </c>
      <c r="X4" s="163" t="s">
        <v>167</v>
      </c>
      <c r="Y4" s="163" t="s">
        <v>168</v>
      </c>
      <c r="Z4" s="163" t="s">
        <v>169</v>
      </c>
      <c r="AA4" s="163" t="s">
        <v>170</v>
      </c>
      <c r="AB4" s="163" t="s">
        <v>171</v>
      </c>
      <c r="AC4" s="163" t="s">
        <v>1047</v>
      </c>
      <c r="AD4" s="163"/>
      <c r="AE4" s="163"/>
      <c r="AF4" s="163"/>
      <c r="AG4" s="163"/>
      <c r="AH4" s="163"/>
      <c r="AI4" s="163"/>
      <c r="AJ4" s="163"/>
      <c r="AK4" s="163" t="s">
        <v>172</v>
      </c>
      <c r="AL4" s="163" t="s">
        <v>173</v>
      </c>
      <c r="AM4" s="163" t="s">
        <v>174</v>
      </c>
      <c r="AN4" s="163" t="s">
        <v>175</v>
      </c>
      <c r="AO4" s="163" t="s">
        <v>31</v>
      </c>
    </row>
    <row r="5" spans="1:41" ht="21" customHeight="1" x14ac:dyDescent="0.2">
      <c r="A5" s="34">
        <v>1</v>
      </c>
      <c r="B5" s="35" t="s">
        <v>176</v>
      </c>
      <c r="C5" s="36">
        <v>24606935</v>
      </c>
      <c r="D5" s="37" t="s">
        <v>522</v>
      </c>
      <c r="E5" s="37" t="s">
        <v>177</v>
      </c>
      <c r="F5" s="37" t="s">
        <v>17</v>
      </c>
      <c r="G5" s="38" t="s">
        <v>8</v>
      </c>
      <c r="H5" s="39">
        <v>43864</v>
      </c>
      <c r="I5" s="38" t="s">
        <v>62</v>
      </c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>
        <v>0</v>
      </c>
      <c r="V5" s="40">
        <v>0</v>
      </c>
      <c r="W5" s="41">
        <v>1.5</v>
      </c>
      <c r="X5" s="41">
        <v>3</v>
      </c>
      <c r="Y5" s="41">
        <v>0</v>
      </c>
      <c r="Z5" s="41">
        <v>0</v>
      </c>
      <c r="AA5" s="42">
        <v>80</v>
      </c>
      <c r="AB5" s="40">
        <f>AA5-(J5+K5+L5+M5+N5+O5+P5+Q5+R5+S5+T5+U5+V5+W5+X5+Y5+Z5)</f>
        <v>75.5</v>
      </c>
      <c r="AC5" s="43"/>
      <c r="AD5" s="41"/>
      <c r="AE5" s="41"/>
      <c r="AF5" s="41"/>
      <c r="AG5" s="41"/>
      <c r="AH5" s="41"/>
      <c r="AI5" s="41"/>
      <c r="AJ5" s="41"/>
      <c r="AK5" s="44">
        <f t="shared" ref="AK5:AK68" si="0">AB5-AC5-AD5-AE5-AF5-AG5-AH5-AI5-AJ5</f>
        <v>75.5</v>
      </c>
      <c r="AL5" s="45"/>
      <c r="AM5" s="45"/>
      <c r="AN5" s="44"/>
      <c r="AO5" s="46"/>
    </row>
    <row r="6" spans="1:41" ht="21" customHeight="1" x14ac:dyDescent="0.2">
      <c r="A6" s="34">
        <v>2</v>
      </c>
      <c r="B6" s="35" t="s">
        <v>178</v>
      </c>
      <c r="C6" s="36">
        <v>89007946</v>
      </c>
      <c r="D6" s="37" t="s">
        <v>522</v>
      </c>
      <c r="E6" s="37" t="s">
        <v>177</v>
      </c>
      <c r="F6" s="37" t="s">
        <v>17</v>
      </c>
      <c r="G6" s="38" t="s">
        <v>8</v>
      </c>
      <c r="H6" s="47">
        <v>44963</v>
      </c>
      <c r="I6" s="38" t="s">
        <v>22</v>
      </c>
      <c r="J6" s="37"/>
      <c r="K6" s="48"/>
      <c r="L6" s="48"/>
      <c r="M6" s="48"/>
      <c r="N6" s="48"/>
      <c r="O6" s="40"/>
      <c r="P6" s="49"/>
      <c r="Q6" s="49"/>
      <c r="R6" s="40"/>
      <c r="S6" s="40"/>
      <c r="T6" s="40"/>
      <c r="U6" s="40"/>
      <c r="V6" s="40"/>
      <c r="W6" s="41"/>
      <c r="X6" s="41">
        <v>0</v>
      </c>
      <c r="Y6" s="41">
        <v>35</v>
      </c>
      <c r="Z6" s="41">
        <v>37.9</v>
      </c>
      <c r="AA6" s="42">
        <v>160</v>
      </c>
      <c r="AB6" s="40">
        <f t="shared" ref="AB6:AB69" si="1">AA6-(J6+K6+L6+M6+N6+O6+P6+Q6+R6+S6+T6+U6+V6+W6+X6+Y6+Z6)</f>
        <v>87.1</v>
      </c>
      <c r="AC6" s="43">
        <f>Pub_Rev_Index!X10+Pub_Rev_Index!X12</f>
        <v>11</v>
      </c>
      <c r="AD6" s="41"/>
      <c r="AE6" s="41"/>
      <c r="AF6" s="41"/>
      <c r="AG6" s="41"/>
      <c r="AH6" s="41"/>
      <c r="AI6" s="41"/>
      <c r="AJ6" s="41"/>
      <c r="AK6" s="44">
        <f t="shared" si="0"/>
        <v>76.099999999999994</v>
      </c>
      <c r="AL6" s="50"/>
      <c r="AM6" s="45"/>
      <c r="AN6" s="44"/>
      <c r="AO6" s="49"/>
    </row>
    <row r="7" spans="1:41" ht="38.25" x14ac:dyDescent="0.2">
      <c r="A7" s="34">
        <v>3</v>
      </c>
      <c r="B7" s="35" t="s">
        <v>179</v>
      </c>
      <c r="C7" s="36">
        <v>24809412</v>
      </c>
      <c r="D7" s="37" t="s">
        <v>522</v>
      </c>
      <c r="E7" s="37" t="s">
        <v>177</v>
      </c>
      <c r="F7" s="37" t="s">
        <v>21</v>
      </c>
      <c r="G7" s="38" t="s">
        <v>8</v>
      </c>
      <c r="H7" s="38" t="s">
        <v>180</v>
      </c>
      <c r="I7" s="38" t="s">
        <v>10</v>
      </c>
      <c r="J7" s="37"/>
      <c r="K7" s="48"/>
      <c r="L7" s="48"/>
      <c r="M7" s="48"/>
      <c r="N7" s="48"/>
      <c r="O7" s="40"/>
      <c r="P7" s="49"/>
      <c r="Q7" s="49"/>
      <c r="R7" s="40"/>
      <c r="S7" s="40">
        <v>12.2</v>
      </c>
      <c r="T7" s="40">
        <v>26.6</v>
      </c>
      <c r="U7" s="40">
        <v>8</v>
      </c>
      <c r="V7" s="40">
        <v>13.1</v>
      </c>
      <c r="W7" s="41">
        <v>1.5</v>
      </c>
      <c r="X7" s="41">
        <v>3</v>
      </c>
      <c r="Y7" s="41">
        <v>27.9</v>
      </c>
      <c r="Z7" s="41">
        <v>10</v>
      </c>
      <c r="AA7" s="42">
        <v>320</v>
      </c>
      <c r="AB7" s="40">
        <f t="shared" si="1"/>
        <v>217.7</v>
      </c>
      <c r="AC7" s="43"/>
      <c r="AD7" s="41"/>
      <c r="AE7" s="41"/>
      <c r="AF7" s="41"/>
      <c r="AG7" s="41"/>
      <c r="AH7" s="41"/>
      <c r="AI7" s="41"/>
      <c r="AJ7" s="41"/>
      <c r="AK7" s="44">
        <f t="shared" si="0"/>
        <v>217.7</v>
      </c>
      <c r="AL7" s="45"/>
      <c r="AM7" s="45"/>
      <c r="AN7" s="51"/>
      <c r="AO7" s="52" t="s">
        <v>1051</v>
      </c>
    </row>
    <row r="8" spans="1:41" ht="21" customHeight="1" x14ac:dyDescent="0.2">
      <c r="A8" s="34">
        <v>4</v>
      </c>
      <c r="B8" s="35" t="s">
        <v>181</v>
      </c>
      <c r="C8" s="36">
        <v>41935384</v>
      </c>
      <c r="D8" s="37" t="s">
        <v>522</v>
      </c>
      <c r="E8" s="37" t="s">
        <v>177</v>
      </c>
      <c r="F8" s="37" t="s">
        <v>17</v>
      </c>
      <c r="G8" s="38" t="s">
        <v>8</v>
      </c>
      <c r="H8" s="39">
        <v>41436</v>
      </c>
      <c r="I8" s="38" t="s">
        <v>11</v>
      </c>
      <c r="J8" s="40"/>
      <c r="K8" s="40"/>
      <c r="L8" s="40"/>
      <c r="M8" s="40"/>
      <c r="N8" s="40"/>
      <c r="O8" s="40">
        <v>10</v>
      </c>
      <c r="P8" s="53"/>
      <c r="Q8" s="53"/>
      <c r="R8" s="40">
        <v>27</v>
      </c>
      <c r="S8" s="40">
        <v>8</v>
      </c>
      <c r="T8" s="40">
        <v>39</v>
      </c>
      <c r="U8" s="40">
        <v>8</v>
      </c>
      <c r="V8" s="40">
        <v>45.3</v>
      </c>
      <c r="W8" s="41">
        <v>24.5</v>
      </c>
      <c r="X8" s="41">
        <v>19.899999999999999</v>
      </c>
      <c r="Y8" s="41">
        <v>8</v>
      </c>
      <c r="Z8" s="41">
        <v>31</v>
      </c>
      <c r="AA8" s="42">
        <v>540</v>
      </c>
      <c r="AB8" s="40">
        <f t="shared" si="1"/>
        <v>319.29999999999995</v>
      </c>
      <c r="AC8" s="43"/>
      <c r="AD8" s="41"/>
      <c r="AE8" s="41"/>
      <c r="AF8" s="41"/>
      <c r="AG8" s="41"/>
      <c r="AH8" s="41"/>
      <c r="AI8" s="41"/>
      <c r="AJ8" s="41"/>
      <c r="AK8" s="44">
        <f t="shared" si="0"/>
        <v>319.29999999999995</v>
      </c>
      <c r="AL8" s="45"/>
      <c r="AM8" s="45"/>
      <c r="AN8" s="44"/>
      <c r="AO8" s="46"/>
    </row>
    <row r="9" spans="1:41" ht="25.5" x14ac:dyDescent="0.2">
      <c r="A9" s="34">
        <v>5</v>
      </c>
      <c r="B9" s="35" t="s">
        <v>182</v>
      </c>
      <c r="C9" s="36">
        <v>7558182</v>
      </c>
      <c r="D9" s="37" t="s">
        <v>522</v>
      </c>
      <c r="E9" s="37" t="s">
        <v>177</v>
      </c>
      <c r="F9" s="37" t="s">
        <v>17</v>
      </c>
      <c r="G9" s="38" t="s">
        <v>8</v>
      </c>
      <c r="H9" s="39">
        <v>43864</v>
      </c>
      <c r="I9" s="38" t="s">
        <v>22</v>
      </c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>
        <v>3</v>
      </c>
      <c r="V9" s="40">
        <v>0</v>
      </c>
      <c r="W9" s="41">
        <v>0</v>
      </c>
      <c r="X9" s="41">
        <v>0</v>
      </c>
      <c r="Y9" s="41">
        <v>30.9</v>
      </c>
      <c r="Z9" s="41">
        <v>9.9</v>
      </c>
      <c r="AA9" s="42">
        <v>160</v>
      </c>
      <c r="AB9" s="40">
        <f t="shared" si="1"/>
        <v>116.2</v>
      </c>
      <c r="AC9" s="43"/>
      <c r="AD9" s="41"/>
      <c r="AE9" s="41"/>
      <c r="AF9" s="41"/>
      <c r="AG9" s="41"/>
      <c r="AH9" s="41"/>
      <c r="AI9" s="41"/>
      <c r="AJ9" s="41"/>
      <c r="AK9" s="44">
        <f t="shared" si="0"/>
        <v>116.2</v>
      </c>
      <c r="AL9" s="45"/>
      <c r="AM9" s="45"/>
      <c r="AN9" s="44"/>
      <c r="AO9" s="46"/>
    </row>
    <row r="10" spans="1:41" ht="21" customHeight="1" x14ac:dyDescent="0.2">
      <c r="A10" s="34">
        <v>6</v>
      </c>
      <c r="B10" s="35" t="s">
        <v>183</v>
      </c>
      <c r="C10" s="36">
        <v>7557752</v>
      </c>
      <c r="D10" s="37" t="s">
        <v>522</v>
      </c>
      <c r="E10" s="37" t="s">
        <v>177</v>
      </c>
      <c r="F10" s="37" t="s">
        <v>17</v>
      </c>
      <c r="G10" s="38" t="s">
        <v>8</v>
      </c>
      <c r="H10" s="38" t="s">
        <v>184</v>
      </c>
      <c r="I10" s="38" t="s">
        <v>10</v>
      </c>
      <c r="J10" s="40">
        <v>14.2</v>
      </c>
      <c r="K10" s="40">
        <v>12.5</v>
      </c>
      <c r="L10" s="40"/>
      <c r="M10" s="40">
        <v>14.6</v>
      </c>
      <c r="N10" s="40">
        <v>3</v>
      </c>
      <c r="O10" s="40"/>
      <c r="P10" s="40"/>
      <c r="Q10" s="40">
        <v>3</v>
      </c>
      <c r="R10" s="40">
        <v>27</v>
      </c>
      <c r="S10" s="40">
        <v>8</v>
      </c>
      <c r="T10" s="40">
        <v>39</v>
      </c>
      <c r="U10" s="40">
        <v>8</v>
      </c>
      <c r="V10" s="40">
        <v>30.3</v>
      </c>
      <c r="W10" s="41">
        <v>0</v>
      </c>
      <c r="X10" s="41">
        <v>12.4</v>
      </c>
      <c r="Y10" s="41">
        <v>8</v>
      </c>
      <c r="Z10" s="41">
        <v>29</v>
      </c>
      <c r="AA10" s="42">
        <v>320</v>
      </c>
      <c r="AB10" s="40">
        <f t="shared" si="1"/>
        <v>110.99999999999997</v>
      </c>
      <c r="AC10" s="43"/>
      <c r="AD10" s="41"/>
      <c r="AE10" s="41"/>
      <c r="AF10" s="41"/>
      <c r="AG10" s="41"/>
      <c r="AH10" s="41"/>
      <c r="AI10" s="41"/>
      <c r="AJ10" s="41"/>
      <c r="AK10" s="44">
        <f t="shared" si="0"/>
        <v>110.99999999999997</v>
      </c>
      <c r="AL10" s="45"/>
      <c r="AM10" s="45"/>
      <c r="AN10" s="44"/>
      <c r="AO10" s="46"/>
    </row>
    <row r="11" spans="1:41" ht="21" customHeight="1" x14ac:dyDescent="0.2">
      <c r="A11" s="34">
        <v>7</v>
      </c>
      <c r="B11" s="35" t="s">
        <v>185</v>
      </c>
      <c r="C11" s="36">
        <v>1094947500</v>
      </c>
      <c r="D11" s="37" t="s">
        <v>522</v>
      </c>
      <c r="E11" s="37" t="s">
        <v>177</v>
      </c>
      <c r="F11" s="37" t="s">
        <v>21</v>
      </c>
      <c r="G11" s="38" t="s">
        <v>8</v>
      </c>
      <c r="H11" s="39">
        <v>44963</v>
      </c>
      <c r="I11" s="38" t="s">
        <v>62</v>
      </c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1"/>
      <c r="X11" s="41">
        <v>0</v>
      </c>
      <c r="Y11" s="41">
        <v>0</v>
      </c>
      <c r="Z11" s="41">
        <v>0</v>
      </c>
      <c r="AA11" s="42">
        <v>80</v>
      </c>
      <c r="AB11" s="40">
        <f t="shared" si="1"/>
        <v>80</v>
      </c>
      <c r="AC11" s="43"/>
      <c r="AD11" s="41"/>
      <c r="AE11" s="41"/>
      <c r="AF11" s="41"/>
      <c r="AG11" s="41"/>
      <c r="AH11" s="41"/>
      <c r="AI11" s="41"/>
      <c r="AJ11" s="41"/>
      <c r="AK11" s="44">
        <f t="shared" si="0"/>
        <v>80</v>
      </c>
      <c r="AL11" s="45"/>
      <c r="AM11" s="45"/>
      <c r="AN11" s="44"/>
      <c r="AO11" s="46"/>
    </row>
    <row r="12" spans="1:41" ht="25.5" x14ac:dyDescent="0.2">
      <c r="A12" s="34">
        <v>8</v>
      </c>
      <c r="B12" s="54" t="s">
        <v>186</v>
      </c>
      <c r="C12" s="55">
        <v>29332068</v>
      </c>
      <c r="D12" s="56" t="s">
        <v>523</v>
      </c>
      <c r="E12" s="56" t="s">
        <v>177</v>
      </c>
      <c r="F12" s="56" t="s">
        <v>21</v>
      </c>
      <c r="G12" s="57" t="s">
        <v>8</v>
      </c>
      <c r="H12" s="58">
        <v>40203</v>
      </c>
      <c r="I12" s="57" t="s">
        <v>11</v>
      </c>
      <c r="J12" s="59"/>
      <c r="K12" s="59"/>
      <c r="L12" s="59">
        <v>30.1</v>
      </c>
      <c r="M12" s="59">
        <v>18.899999999999999</v>
      </c>
      <c r="N12" s="59"/>
      <c r="O12" s="59"/>
      <c r="P12" s="59"/>
      <c r="Q12" s="59"/>
      <c r="R12" s="59">
        <v>6</v>
      </c>
      <c r="S12" s="59"/>
      <c r="T12" s="59"/>
      <c r="U12" s="59">
        <v>0</v>
      </c>
      <c r="V12" s="59">
        <v>13.5</v>
      </c>
      <c r="W12" s="60">
        <v>12.2</v>
      </c>
      <c r="X12" s="60">
        <v>36.4</v>
      </c>
      <c r="Y12" s="60">
        <v>11.3</v>
      </c>
      <c r="Z12" s="60">
        <v>12.4</v>
      </c>
      <c r="AA12" s="61">
        <v>540</v>
      </c>
      <c r="AB12" s="59">
        <f t="shared" si="1"/>
        <v>399.2</v>
      </c>
      <c r="AC12" s="62"/>
      <c r="AD12" s="60"/>
      <c r="AE12" s="60"/>
      <c r="AF12" s="60"/>
      <c r="AG12" s="60"/>
      <c r="AH12" s="60"/>
      <c r="AI12" s="60"/>
      <c r="AJ12" s="60"/>
      <c r="AK12" s="63">
        <f t="shared" si="0"/>
        <v>399.2</v>
      </c>
      <c r="AL12" s="64"/>
      <c r="AM12" s="64"/>
      <c r="AN12" s="63" t="s">
        <v>187</v>
      </c>
      <c r="AO12" s="68" t="s">
        <v>188</v>
      </c>
    </row>
    <row r="13" spans="1:41" ht="21" customHeight="1" x14ac:dyDescent="0.2">
      <c r="A13" s="34">
        <v>9</v>
      </c>
      <c r="B13" s="35" t="s">
        <v>189</v>
      </c>
      <c r="C13" s="36">
        <v>29226257</v>
      </c>
      <c r="D13" s="37" t="s">
        <v>523</v>
      </c>
      <c r="E13" s="37" t="s">
        <v>177</v>
      </c>
      <c r="F13" s="37" t="s">
        <v>17</v>
      </c>
      <c r="G13" s="38" t="s">
        <v>8</v>
      </c>
      <c r="H13" s="39">
        <v>44963</v>
      </c>
      <c r="I13" s="38" t="s">
        <v>10</v>
      </c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1"/>
      <c r="X13" s="41">
        <v>29.200000000000003</v>
      </c>
      <c r="Y13" s="41">
        <v>0</v>
      </c>
      <c r="Z13" s="41">
        <v>50</v>
      </c>
      <c r="AA13" s="42">
        <v>320</v>
      </c>
      <c r="AB13" s="40">
        <f t="shared" si="1"/>
        <v>240.8</v>
      </c>
      <c r="AC13" s="43"/>
      <c r="AD13" s="41"/>
      <c r="AE13" s="41"/>
      <c r="AF13" s="41"/>
      <c r="AG13" s="41"/>
      <c r="AH13" s="41"/>
      <c r="AI13" s="41"/>
      <c r="AJ13" s="41"/>
      <c r="AK13" s="44">
        <f t="shared" si="0"/>
        <v>240.8</v>
      </c>
      <c r="AL13" s="65"/>
      <c r="AM13" s="45"/>
      <c r="AN13" s="44"/>
      <c r="AO13" s="46"/>
    </row>
    <row r="14" spans="1:41" ht="21" customHeight="1" x14ac:dyDescent="0.2">
      <c r="A14" s="34">
        <v>10</v>
      </c>
      <c r="B14" s="35" t="s">
        <v>190</v>
      </c>
      <c r="C14" s="36">
        <v>7554040</v>
      </c>
      <c r="D14" s="37" t="s">
        <v>523</v>
      </c>
      <c r="E14" s="37" t="s">
        <v>177</v>
      </c>
      <c r="F14" s="37" t="s">
        <v>17</v>
      </c>
      <c r="G14" s="38" t="s">
        <v>8</v>
      </c>
      <c r="H14" s="39">
        <v>39664</v>
      </c>
      <c r="I14" s="38" t="s">
        <v>11</v>
      </c>
      <c r="J14" s="40">
        <v>69.8</v>
      </c>
      <c r="K14" s="40"/>
      <c r="L14" s="40"/>
      <c r="M14" s="40"/>
      <c r="N14" s="40"/>
      <c r="O14" s="40"/>
      <c r="P14" s="40"/>
      <c r="Q14" s="40">
        <v>6.4</v>
      </c>
      <c r="R14" s="40">
        <v>29.2</v>
      </c>
      <c r="S14" s="40">
        <v>33.4</v>
      </c>
      <c r="T14" s="40">
        <v>35</v>
      </c>
      <c r="U14" s="40">
        <v>0</v>
      </c>
      <c r="V14" s="40">
        <v>40.5</v>
      </c>
      <c r="W14" s="41">
        <v>0</v>
      </c>
      <c r="X14" s="41">
        <v>0</v>
      </c>
      <c r="Y14" s="41">
        <v>12.3</v>
      </c>
      <c r="Z14" s="41">
        <v>43.7</v>
      </c>
      <c r="AA14" s="42">
        <v>540</v>
      </c>
      <c r="AB14" s="40">
        <f t="shared" si="1"/>
        <v>269.7</v>
      </c>
      <c r="AC14" s="43"/>
      <c r="AD14" s="43"/>
      <c r="AE14" s="43"/>
      <c r="AF14" s="43"/>
      <c r="AG14" s="66"/>
      <c r="AH14" s="66"/>
      <c r="AI14" s="66"/>
      <c r="AJ14" s="66"/>
      <c r="AK14" s="44">
        <f t="shared" si="0"/>
        <v>269.7</v>
      </c>
      <c r="AL14" s="45"/>
      <c r="AM14" s="45"/>
      <c r="AN14" s="44"/>
      <c r="AO14" s="46"/>
    </row>
    <row r="15" spans="1:41" ht="21" customHeight="1" x14ac:dyDescent="0.2">
      <c r="A15" s="34">
        <v>11</v>
      </c>
      <c r="B15" s="35" t="s">
        <v>191</v>
      </c>
      <c r="C15" s="36">
        <v>41916725</v>
      </c>
      <c r="D15" s="37" t="s">
        <v>523</v>
      </c>
      <c r="E15" s="37" t="s">
        <v>177</v>
      </c>
      <c r="F15" s="37" t="s">
        <v>17</v>
      </c>
      <c r="G15" s="38" t="s">
        <v>8</v>
      </c>
      <c r="H15" s="39">
        <v>44963</v>
      </c>
      <c r="I15" s="38" t="s">
        <v>62</v>
      </c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1"/>
      <c r="X15" s="41">
        <v>0</v>
      </c>
      <c r="Y15" s="41">
        <v>11.7</v>
      </c>
      <c r="Z15" s="41">
        <v>38</v>
      </c>
      <c r="AA15" s="42">
        <v>80</v>
      </c>
      <c r="AB15" s="40">
        <f t="shared" si="1"/>
        <v>30.299999999999997</v>
      </c>
      <c r="AC15" s="43">
        <f>Pub_Rev_Index!X13</f>
        <v>8</v>
      </c>
      <c r="AD15" s="41"/>
      <c r="AE15" s="41"/>
      <c r="AF15" s="41"/>
      <c r="AG15" s="41"/>
      <c r="AH15" s="41"/>
      <c r="AI15" s="41"/>
      <c r="AJ15" s="41"/>
      <c r="AK15" s="44">
        <f t="shared" si="0"/>
        <v>22.299999999999997</v>
      </c>
      <c r="AL15" s="45"/>
      <c r="AM15" s="45"/>
      <c r="AN15" s="44"/>
      <c r="AO15" s="46"/>
    </row>
    <row r="16" spans="1:41" ht="21" customHeight="1" x14ac:dyDescent="0.2">
      <c r="A16" s="34">
        <v>12</v>
      </c>
      <c r="B16" s="35" t="s">
        <v>192</v>
      </c>
      <c r="C16" s="36">
        <v>7551802</v>
      </c>
      <c r="D16" s="38" t="s">
        <v>193</v>
      </c>
      <c r="E16" s="37" t="s">
        <v>194</v>
      </c>
      <c r="F16" s="37" t="s">
        <v>21</v>
      </c>
      <c r="G16" s="38" t="s">
        <v>8</v>
      </c>
      <c r="H16" s="39">
        <v>43951</v>
      </c>
      <c r="I16" s="38" t="s">
        <v>22</v>
      </c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>
        <v>10.1</v>
      </c>
      <c r="V16" s="40">
        <v>15.9</v>
      </c>
      <c r="W16" s="41">
        <v>0</v>
      </c>
      <c r="X16" s="41">
        <v>0</v>
      </c>
      <c r="Y16" s="41">
        <v>0</v>
      </c>
      <c r="Z16" s="41">
        <v>0</v>
      </c>
      <c r="AA16" s="42">
        <v>160</v>
      </c>
      <c r="AB16" s="40">
        <f t="shared" si="1"/>
        <v>134</v>
      </c>
      <c r="AC16" s="43"/>
      <c r="AD16" s="41"/>
      <c r="AE16" s="41"/>
      <c r="AF16" s="41"/>
      <c r="AG16" s="41"/>
      <c r="AH16" s="41"/>
      <c r="AI16" s="41"/>
      <c r="AJ16" s="41"/>
      <c r="AK16" s="44">
        <f t="shared" si="0"/>
        <v>134</v>
      </c>
      <c r="AL16" s="45"/>
      <c r="AM16" s="45"/>
      <c r="AN16" s="44"/>
      <c r="AO16" s="46"/>
    </row>
    <row r="17" spans="1:41" ht="25.5" x14ac:dyDescent="0.2">
      <c r="A17" s="34">
        <v>13</v>
      </c>
      <c r="B17" s="35" t="s">
        <v>195</v>
      </c>
      <c r="C17" s="36">
        <v>41914131</v>
      </c>
      <c r="D17" s="38" t="s">
        <v>193</v>
      </c>
      <c r="E17" s="37" t="s">
        <v>194</v>
      </c>
      <c r="F17" s="37" t="s">
        <v>17</v>
      </c>
      <c r="G17" s="38" t="s">
        <v>8</v>
      </c>
      <c r="H17" s="39">
        <v>41872</v>
      </c>
      <c r="I17" s="38" t="s">
        <v>62</v>
      </c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>
        <v>0</v>
      </c>
      <c r="V17" s="40">
        <v>0</v>
      </c>
      <c r="W17" s="41">
        <v>0</v>
      </c>
      <c r="X17" s="41">
        <v>0</v>
      </c>
      <c r="Y17" s="41">
        <v>0</v>
      </c>
      <c r="Z17" s="41">
        <v>0</v>
      </c>
      <c r="AA17" s="42">
        <v>80</v>
      </c>
      <c r="AB17" s="40">
        <f t="shared" si="1"/>
        <v>80</v>
      </c>
      <c r="AC17" s="43"/>
      <c r="AD17" s="41"/>
      <c r="AE17" s="41"/>
      <c r="AF17" s="41"/>
      <c r="AG17" s="41"/>
      <c r="AH17" s="41"/>
      <c r="AI17" s="41"/>
      <c r="AJ17" s="41"/>
      <c r="AK17" s="44">
        <f t="shared" si="0"/>
        <v>80</v>
      </c>
      <c r="AL17" s="45"/>
      <c r="AM17" s="45"/>
      <c r="AN17" s="44"/>
      <c r="AO17" s="46"/>
    </row>
    <row r="18" spans="1:41" ht="21" customHeight="1" x14ac:dyDescent="0.2">
      <c r="A18" s="34">
        <v>14</v>
      </c>
      <c r="B18" s="35" t="s">
        <v>196</v>
      </c>
      <c r="C18" s="36">
        <v>9727322</v>
      </c>
      <c r="D18" s="38" t="s">
        <v>193</v>
      </c>
      <c r="E18" s="37" t="s">
        <v>194</v>
      </c>
      <c r="F18" s="37" t="s">
        <v>17</v>
      </c>
      <c r="G18" s="38" t="s">
        <v>8</v>
      </c>
      <c r="H18" s="39">
        <v>44963</v>
      </c>
      <c r="I18" s="38" t="s">
        <v>62</v>
      </c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1"/>
      <c r="X18" s="41">
        <v>3</v>
      </c>
      <c r="Y18" s="41">
        <v>0</v>
      </c>
      <c r="Z18" s="41">
        <v>0</v>
      </c>
      <c r="AA18" s="42">
        <v>80</v>
      </c>
      <c r="AB18" s="40">
        <f t="shared" si="1"/>
        <v>77</v>
      </c>
      <c r="AC18" s="43"/>
      <c r="AD18" s="41"/>
      <c r="AE18" s="41"/>
      <c r="AF18" s="41"/>
      <c r="AG18" s="41"/>
      <c r="AH18" s="41"/>
      <c r="AI18" s="41"/>
      <c r="AJ18" s="41"/>
      <c r="AK18" s="44">
        <f t="shared" si="0"/>
        <v>77</v>
      </c>
      <c r="AL18" s="45"/>
      <c r="AM18" s="45"/>
      <c r="AN18" s="44"/>
      <c r="AO18" s="46"/>
    </row>
    <row r="19" spans="1:41" ht="21" customHeight="1" x14ac:dyDescent="0.2">
      <c r="A19" s="34">
        <v>15</v>
      </c>
      <c r="B19" s="35" t="s">
        <v>197</v>
      </c>
      <c r="C19" s="36">
        <v>94287028</v>
      </c>
      <c r="D19" s="38" t="s">
        <v>73</v>
      </c>
      <c r="E19" s="37" t="s">
        <v>198</v>
      </c>
      <c r="F19" s="37" t="s">
        <v>21</v>
      </c>
      <c r="G19" s="38" t="s">
        <v>8</v>
      </c>
      <c r="H19" s="39">
        <v>44966</v>
      </c>
      <c r="I19" s="38" t="s">
        <v>22</v>
      </c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1"/>
      <c r="X19" s="41">
        <v>63.7</v>
      </c>
      <c r="Y19" s="41">
        <v>4</v>
      </c>
      <c r="Z19" s="41">
        <v>10</v>
      </c>
      <c r="AA19" s="42">
        <v>160</v>
      </c>
      <c r="AB19" s="40">
        <f t="shared" si="1"/>
        <v>82.3</v>
      </c>
      <c r="AC19" s="43"/>
      <c r="AD19" s="41"/>
      <c r="AE19" s="41"/>
      <c r="AF19" s="41"/>
      <c r="AG19" s="41"/>
      <c r="AH19" s="41"/>
      <c r="AI19" s="41"/>
      <c r="AJ19" s="41"/>
      <c r="AK19" s="44">
        <f t="shared" si="0"/>
        <v>82.3</v>
      </c>
      <c r="AL19" s="45"/>
      <c r="AM19" s="45"/>
      <c r="AN19" s="44"/>
      <c r="AO19" s="46"/>
    </row>
    <row r="20" spans="1:41" ht="21" customHeight="1" x14ac:dyDescent="0.2">
      <c r="A20" s="34">
        <v>16</v>
      </c>
      <c r="B20" s="35" t="s">
        <v>199</v>
      </c>
      <c r="C20" s="36">
        <v>9732828</v>
      </c>
      <c r="D20" s="38" t="s">
        <v>73</v>
      </c>
      <c r="E20" s="37" t="s">
        <v>198</v>
      </c>
      <c r="F20" s="37" t="s">
        <v>21</v>
      </c>
      <c r="G20" s="38" t="s">
        <v>8</v>
      </c>
      <c r="H20" s="39">
        <v>43878</v>
      </c>
      <c r="I20" s="38" t="s">
        <v>10</v>
      </c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>
        <v>45</v>
      </c>
      <c r="V20" s="40">
        <v>42.5</v>
      </c>
      <c r="W20" s="41">
        <v>7.5</v>
      </c>
      <c r="X20" s="41">
        <v>32</v>
      </c>
      <c r="Y20" s="41">
        <v>4</v>
      </c>
      <c r="Z20" s="41">
        <v>51</v>
      </c>
      <c r="AA20" s="42">
        <v>320</v>
      </c>
      <c r="AB20" s="40">
        <f t="shared" si="1"/>
        <v>138</v>
      </c>
      <c r="AC20" s="43"/>
      <c r="AD20" s="41"/>
      <c r="AE20" s="41"/>
      <c r="AF20" s="41"/>
      <c r="AG20" s="41"/>
      <c r="AH20" s="41"/>
      <c r="AI20" s="41"/>
      <c r="AJ20" s="41"/>
      <c r="AK20" s="44">
        <f t="shared" si="0"/>
        <v>138</v>
      </c>
      <c r="AL20" s="45"/>
      <c r="AM20" s="45"/>
      <c r="AN20" s="44"/>
      <c r="AO20" s="46"/>
    </row>
    <row r="21" spans="1:41" ht="21" customHeight="1" x14ac:dyDescent="0.2">
      <c r="A21" s="34">
        <v>17</v>
      </c>
      <c r="B21" s="35" t="s">
        <v>200</v>
      </c>
      <c r="C21" s="36">
        <v>66920157</v>
      </c>
      <c r="D21" s="38" t="s">
        <v>73</v>
      </c>
      <c r="E21" s="37" t="s">
        <v>198</v>
      </c>
      <c r="F21" s="38" t="s">
        <v>201</v>
      </c>
      <c r="G21" s="38" t="s">
        <v>8</v>
      </c>
      <c r="H21" s="39">
        <v>39664</v>
      </c>
      <c r="I21" s="38" t="s">
        <v>10</v>
      </c>
      <c r="J21" s="40">
        <v>15</v>
      </c>
      <c r="K21" s="40">
        <v>12</v>
      </c>
      <c r="L21" s="40"/>
      <c r="M21" s="40">
        <v>21</v>
      </c>
      <c r="N21" s="40"/>
      <c r="O21" s="40">
        <v>1.8</v>
      </c>
      <c r="P21" s="40"/>
      <c r="Q21" s="40"/>
      <c r="R21" s="40">
        <v>12</v>
      </c>
      <c r="S21" s="40"/>
      <c r="T21" s="40">
        <v>12</v>
      </c>
      <c r="U21" s="40">
        <v>0</v>
      </c>
      <c r="V21" s="40">
        <v>0</v>
      </c>
      <c r="W21" s="41">
        <v>0</v>
      </c>
      <c r="X21" s="41">
        <v>7.5</v>
      </c>
      <c r="Y21" s="41">
        <v>0</v>
      </c>
      <c r="Z21" s="41">
        <v>5</v>
      </c>
      <c r="AA21" s="42">
        <v>320</v>
      </c>
      <c r="AB21" s="40">
        <f t="shared" si="1"/>
        <v>233.7</v>
      </c>
      <c r="AC21" s="43"/>
      <c r="AD21" s="41"/>
      <c r="AE21" s="41"/>
      <c r="AF21" s="41"/>
      <c r="AG21" s="41"/>
      <c r="AH21" s="41"/>
      <c r="AI21" s="41"/>
      <c r="AJ21" s="41"/>
      <c r="AK21" s="44">
        <f t="shared" si="0"/>
        <v>233.7</v>
      </c>
      <c r="AL21" s="45"/>
      <c r="AM21" s="45"/>
      <c r="AN21" s="44"/>
      <c r="AO21" s="46"/>
    </row>
    <row r="22" spans="1:41" ht="21" customHeight="1" x14ac:dyDescent="0.2">
      <c r="A22" s="34">
        <v>18</v>
      </c>
      <c r="B22" s="35" t="s">
        <v>202</v>
      </c>
      <c r="C22" s="36">
        <v>89006379</v>
      </c>
      <c r="D22" s="38" t="s">
        <v>73</v>
      </c>
      <c r="E22" s="37" t="s">
        <v>198</v>
      </c>
      <c r="F22" s="38" t="s">
        <v>201</v>
      </c>
      <c r="G22" s="38" t="s">
        <v>8</v>
      </c>
      <c r="H22" s="39">
        <v>38140</v>
      </c>
      <c r="I22" s="38" t="s">
        <v>11</v>
      </c>
      <c r="J22" s="40">
        <v>2.9</v>
      </c>
      <c r="K22" s="40"/>
      <c r="L22" s="40"/>
      <c r="M22" s="40">
        <v>4</v>
      </c>
      <c r="N22" s="40"/>
      <c r="O22" s="40">
        <v>33</v>
      </c>
      <c r="P22" s="40">
        <v>14.4</v>
      </c>
      <c r="Q22" s="40">
        <v>15</v>
      </c>
      <c r="R22" s="40">
        <v>18.8</v>
      </c>
      <c r="S22" s="40"/>
      <c r="T22" s="40">
        <v>6.4</v>
      </c>
      <c r="U22" s="40">
        <v>41.3</v>
      </c>
      <c r="V22" s="40">
        <v>12.5</v>
      </c>
      <c r="W22" s="41">
        <v>3</v>
      </c>
      <c r="X22" s="41">
        <v>3.8</v>
      </c>
      <c r="Y22" s="41">
        <v>12</v>
      </c>
      <c r="Z22" s="41">
        <v>9</v>
      </c>
      <c r="AA22" s="42">
        <v>540</v>
      </c>
      <c r="AB22" s="40">
        <f t="shared" si="1"/>
        <v>363.9</v>
      </c>
      <c r="AC22" s="43"/>
      <c r="AD22" s="41"/>
      <c r="AE22" s="41"/>
      <c r="AF22" s="41"/>
      <c r="AG22" s="41"/>
      <c r="AH22" s="41"/>
      <c r="AI22" s="41"/>
      <c r="AJ22" s="41"/>
      <c r="AK22" s="44">
        <f t="shared" si="0"/>
        <v>363.9</v>
      </c>
      <c r="AL22" s="45"/>
      <c r="AM22" s="45"/>
      <c r="AN22" s="44"/>
      <c r="AO22" s="46"/>
    </row>
    <row r="23" spans="1:41" ht="25.5" x14ac:dyDescent="0.2">
      <c r="A23" s="34">
        <v>19</v>
      </c>
      <c r="B23" s="54" t="s">
        <v>203</v>
      </c>
      <c r="C23" s="55">
        <v>24675452</v>
      </c>
      <c r="D23" s="56" t="s">
        <v>73</v>
      </c>
      <c r="E23" s="56" t="s">
        <v>198</v>
      </c>
      <c r="F23" s="56" t="s">
        <v>17</v>
      </c>
      <c r="G23" s="57" t="s">
        <v>8</v>
      </c>
      <c r="H23" s="58">
        <v>42955</v>
      </c>
      <c r="I23" s="57" t="s">
        <v>22</v>
      </c>
      <c r="J23" s="59"/>
      <c r="K23" s="59"/>
      <c r="L23" s="59"/>
      <c r="M23" s="59"/>
      <c r="N23" s="59"/>
      <c r="O23" s="59"/>
      <c r="P23" s="59"/>
      <c r="Q23" s="59"/>
      <c r="R23" s="59">
        <v>56.7</v>
      </c>
      <c r="S23" s="59"/>
      <c r="T23" s="59"/>
      <c r="U23" s="59">
        <v>35.799999999999997</v>
      </c>
      <c r="V23" s="59">
        <v>0</v>
      </c>
      <c r="W23" s="60">
        <v>0</v>
      </c>
      <c r="X23" s="60">
        <v>0.6</v>
      </c>
      <c r="Y23" s="60">
        <v>0</v>
      </c>
      <c r="Z23" s="60">
        <v>0</v>
      </c>
      <c r="AA23" s="61">
        <v>160</v>
      </c>
      <c r="AB23" s="59">
        <f t="shared" si="1"/>
        <v>66.900000000000006</v>
      </c>
      <c r="AC23" s="62"/>
      <c r="AD23" s="60"/>
      <c r="AE23" s="60"/>
      <c r="AF23" s="60"/>
      <c r="AG23" s="60"/>
      <c r="AH23" s="60"/>
      <c r="AI23" s="60"/>
      <c r="AJ23" s="60"/>
      <c r="AK23" s="63">
        <f t="shared" si="0"/>
        <v>66.900000000000006</v>
      </c>
      <c r="AL23" s="64"/>
      <c r="AM23" s="64"/>
      <c r="AN23" s="67" t="s">
        <v>204</v>
      </c>
      <c r="AO23" s="68" t="s">
        <v>205</v>
      </c>
    </row>
    <row r="24" spans="1:41" ht="21" customHeight="1" x14ac:dyDescent="0.2">
      <c r="A24" s="34">
        <v>20</v>
      </c>
      <c r="B24" s="35" t="s">
        <v>206</v>
      </c>
      <c r="C24" s="36">
        <v>89006235</v>
      </c>
      <c r="D24" s="38" t="s">
        <v>73</v>
      </c>
      <c r="E24" s="37" t="s">
        <v>198</v>
      </c>
      <c r="F24" s="38" t="s">
        <v>17</v>
      </c>
      <c r="G24" s="38" t="s">
        <v>8</v>
      </c>
      <c r="H24" s="69">
        <v>45028</v>
      </c>
      <c r="I24" s="38" t="s">
        <v>22</v>
      </c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1"/>
      <c r="X24" s="41">
        <v>17.8</v>
      </c>
      <c r="Y24" s="41">
        <v>0</v>
      </c>
      <c r="Z24" s="41">
        <v>18.7</v>
      </c>
      <c r="AA24" s="42">
        <v>160</v>
      </c>
      <c r="AB24" s="40">
        <f t="shared" si="1"/>
        <v>123.5</v>
      </c>
      <c r="AC24" s="43"/>
      <c r="AD24" s="41"/>
      <c r="AE24" s="41"/>
      <c r="AF24" s="41"/>
      <c r="AG24" s="41"/>
      <c r="AH24" s="41"/>
      <c r="AI24" s="41"/>
      <c r="AJ24" s="41"/>
      <c r="AK24" s="44">
        <f t="shared" si="0"/>
        <v>123.5</v>
      </c>
      <c r="AL24" s="45"/>
      <c r="AM24" s="45"/>
      <c r="AN24" s="44"/>
      <c r="AO24" s="46"/>
    </row>
    <row r="25" spans="1:41" ht="21" customHeight="1" x14ac:dyDescent="0.2">
      <c r="A25" s="34">
        <v>21</v>
      </c>
      <c r="B25" s="35" t="s">
        <v>207</v>
      </c>
      <c r="C25" s="36">
        <v>66736378</v>
      </c>
      <c r="D25" s="38" t="s">
        <v>73</v>
      </c>
      <c r="E25" s="37" t="s">
        <v>198</v>
      </c>
      <c r="F25" s="38" t="s">
        <v>201</v>
      </c>
      <c r="G25" s="38" t="s">
        <v>8</v>
      </c>
      <c r="H25" s="39">
        <v>39153</v>
      </c>
      <c r="I25" s="38" t="s">
        <v>11</v>
      </c>
      <c r="J25" s="40">
        <v>37.200000000000003</v>
      </c>
      <c r="K25" s="40">
        <v>15</v>
      </c>
      <c r="L25" s="40">
        <v>17.3</v>
      </c>
      <c r="M25" s="40">
        <v>27</v>
      </c>
      <c r="N25" s="40">
        <v>34.5</v>
      </c>
      <c r="O25" s="40">
        <v>7.5</v>
      </c>
      <c r="P25" s="40">
        <v>6</v>
      </c>
      <c r="Q25" s="40">
        <v>6</v>
      </c>
      <c r="R25" s="40"/>
      <c r="S25" s="40">
        <v>9.5</v>
      </c>
      <c r="T25" s="40">
        <v>6</v>
      </c>
      <c r="U25" s="40">
        <v>19.200000000000003</v>
      </c>
      <c r="V25" s="40">
        <v>0</v>
      </c>
      <c r="W25" s="41">
        <v>8</v>
      </c>
      <c r="X25" s="41">
        <v>5.5</v>
      </c>
      <c r="Y25" s="41">
        <v>4</v>
      </c>
      <c r="Z25" s="41">
        <v>10.4</v>
      </c>
      <c r="AA25" s="42">
        <v>540</v>
      </c>
      <c r="AB25" s="40">
        <f t="shared" si="1"/>
        <v>326.89999999999998</v>
      </c>
      <c r="AC25" s="43"/>
      <c r="AD25" s="41"/>
      <c r="AE25" s="43"/>
      <c r="AF25" s="43"/>
      <c r="AG25" s="41"/>
      <c r="AH25" s="41"/>
      <c r="AI25" s="41"/>
      <c r="AJ25" s="41"/>
      <c r="AK25" s="44">
        <f t="shared" si="0"/>
        <v>326.89999999999998</v>
      </c>
      <c r="AL25" s="45"/>
      <c r="AM25" s="45"/>
      <c r="AN25" s="44"/>
      <c r="AO25" s="46"/>
    </row>
    <row r="26" spans="1:41" s="168" customFormat="1" ht="21" customHeight="1" x14ac:dyDescent="0.2">
      <c r="A26" s="34">
        <v>22</v>
      </c>
      <c r="B26" s="70" t="s">
        <v>208</v>
      </c>
      <c r="C26" s="71">
        <v>41935619</v>
      </c>
      <c r="D26" s="72" t="s">
        <v>73</v>
      </c>
      <c r="E26" s="73" t="s">
        <v>198</v>
      </c>
      <c r="F26" s="72" t="s">
        <v>201</v>
      </c>
      <c r="G26" s="72" t="s">
        <v>8</v>
      </c>
      <c r="H26" s="74">
        <v>42955</v>
      </c>
      <c r="I26" s="72" t="s">
        <v>22</v>
      </c>
      <c r="J26" s="75"/>
      <c r="K26" s="75"/>
      <c r="L26" s="75"/>
      <c r="M26" s="75"/>
      <c r="N26" s="75"/>
      <c r="O26" s="75"/>
      <c r="P26" s="75"/>
      <c r="Q26" s="75"/>
      <c r="R26" s="75">
        <v>65.5</v>
      </c>
      <c r="S26" s="75">
        <v>15</v>
      </c>
      <c r="T26" s="75"/>
      <c r="U26" s="75">
        <v>42.2</v>
      </c>
      <c r="V26" s="75">
        <v>22.5</v>
      </c>
      <c r="W26" s="76">
        <v>4</v>
      </c>
      <c r="X26" s="76">
        <v>5.5</v>
      </c>
      <c r="Y26" s="76">
        <v>5.3</v>
      </c>
      <c r="Z26" s="76">
        <v>0</v>
      </c>
      <c r="AA26" s="77">
        <v>160</v>
      </c>
      <c r="AB26" s="40">
        <f t="shared" si="1"/>
        <v>0</v>
      </c>
      <c r="AC26" s="76"/>
      <c r="AD26" s="76"/>
      <c r="AE26" s="76"/>
      <c r="AF26" s="76"/>
      <c r="AG26" s="76"/>
      <c r="AH26" s="76"/>
      <c r="AI26" s="76"/>
      <c r="AJ26" s="76"/>
      <c r="AK26" s="78">
        <f t="shared" si="0"/>
        <v>0</v>
      </c>
      <c r="AL26" s="65"/>
      <c r="AM26" s="65"/>
      <c r="AN26" s="78"/>
      <c r="AO26" s="79"/>
    </row>
    <row r="27" spans="1:41" ht="21" customHeight="1" x14ac:dyDescent="0.2">
      <c r="A27" s="34">
        <v>23</v>
      </c>
      <c r="B27" s="70" t="s">
        <v>209</v>
      </c>
      <c r="C27" s="71">
        <v>79400867</v>
      </c>
      <c r="D27" s="72" t="s">
        <v>210</v>
      </c>
      <c r="E27" s="73" t="s">
        <v>198</v>
      </c>
      <c r="F27" s="72" t="s">
        <v>201</v>
      </c>
      <c r="G27" s="72" t="s">
        <v>8</v>
      </c>
      <c r="H27" s="74">
        <v>41492</v>
      </c>
      <c r="I27" s="72" t="s">
        <v>22</v>
      </c>
      <c r="J27" s="75"/>
      <c r="K27" s="75"/>
      <c r="L27" s="75"/>
      <c r="M27" s="75"/>
      <c r="N27" s="75">
        <v>80</v>
      </c>
      <c r="O27" s="75">
        <v>30</v>
      </c>
      <c r="P27" s="75">
        <v>50</v>
      </c>
      <c r="Q27" s="75"/>
      <c r="R27" s="75"/>
      <c r="S27" s="75"/>
      <c r="T27" s="75"/>
      <c r="U27" s="75">
        <v>0</v>
      </c>
      <c r="V27" s="75">
        <v>0</v>
      </c>
      <c r="W27" s="41">
        <v>0</v>
      </c>
      <c r="X27" s="41">
        <v>0</v>
      </c>
      <c r="Y27" s="41">
        <v>0</v>
      </c>
      <c r="Z27" s="41">
        <v>0</v>
      </c>
      <c r="AA27" s="77">
        <v>160</v>
      </c>
      <c r="AB27" s="40">
        <f t="shared" si="1"/>
        <v>0</v>
      </c>
      <c r="AC27" s="76"/>
      <c r="AD27" s="76"/>
      <c r="AE27" s="76"/>
      <c r="AF27" s="76"/>
      <c r="AG27" s="76"/>
      <c r="AH27" s="76"/>
      <c r="AI27" s="76"/>
      <c r="AJ27" s="76"/>
      <c r="AK27" s="78">
        <f t="shared" si="0"/>
        <v>0</v>
      </c>
      <c r="AL27" s="65"/>
      <c r="AM27" s="65"/>
      <c r="AN27" s="78"/>
      <c r="AO27" s="73"/>
    </row>
    <row r="28" spans="1:41" ht="21" customHeight="1" x14ac:dyDescent="0.2">
      <c r="A28" s="34">
        <v>24</v>
      </c>
      <c r="B28" s="70" t="s">
        <v>211</v>
      </c>
      <c r="C28" s="71">
        <v>7535130</v>
      </c>
      <c r="D28" s="72" t="s">
        <v>210</v>
      </c>
      <c r="E28" s="73" t="s">
        <v>198</v>
      </c>
      <c r="F28" s="72" t="s">
        <v>201</v>
      </c>
      <c r="G28" s="72" t="s">
        <v>8</v>
      </c>
      <c r="H28" s="74">
        <v>34178</v>
      </c>
      <c r="I28" s="72" t="s">
        <v>11</v>
      </c>
      <c r="J28" s="40">
        <v>303.5</v>
      </c>
      <c r="K28" s="40">
        <v>70.5</v>
      </c>
      <c r="L28" s="40">
        <v>81</v>
      </c>
      <c r="M28" s="40">
        <v>36</v>
      </c>
      <c r="N28" s="40">
        <v>22.5</v>
      </c>
      <c r="O28" s="40">
        <v>28.5</v>
      </c>
      <c r="P28" s="75"/>
      <c r="Q28" s="75"/>
      <c r="R28" s="75"/>
      <c r="S28" s="75"/>
      <c r="T28" s="75"/>
      <c r="U28" s="75">
        <v>0</v>
      </c>
      <c r="V28" s="75">
        <v>0</v>
      </c>
      <c r="W28" s="41">
        <v>0</v>
      </c>
      <c r="X28" s="41">
        <v>0</v>
      </c>
      <c r="Y28" s="41">
        <v>0</v>
      </c>
      <c r="Z28" s="41">
        <v>0</v>
      </c>
      <c r="AA28" s="77">
        <v>540</v>
      </c>
      <c r="AB28" s="40">
        <f t="shared" si="1"/>
        <v>-2</v>
      </c>
      <c r="AC28" s="76"/>
      <c r="AD28" s="76"/>
      <c r="AE28" s="76"/>
      <c r="AF28" s="76"/>
      <c r="AG28" s="76"/>
      <c r="AH28" s="76"/>
      <c r="AI28" s="76"/>
      <c r="AJ28" s="76"/>
      <c r="AK28" s="78">
        <f t="shared" si="0"/>
        <v>-2</v>
      </c>
      <c r="AL28" s="65"/>
      <c r="AM28" s="65"/>
      <c r="AN28" s="78"/>
      <c r="AO28" s="73"/>
    </row>
    <row r="29" spans="1:41" ht="21" customHeight="1" x14ac:dyDescent="0.2">
      <c r="A29" s="34">
        <v>25</v>
      </c>
      <c r="B29" s="35" t="s">
        <v>212</v>
      </c>
      <c r="C29" s="36">
        <v>41922237</v>
      </c>
      <c r="D29" s="38" t="s">
        <v>73</v>
      </c>
      <c r="E29" s="37" t="s">
        <v>198</v>
      </c>
      <c r="F29" s="38" t="s">
        <v>17</v>
      </c>
      <c r="G29" s="38" t="s">
        <v>8</v>
      </c>
      <c r="H29" s="39">
        <v>40203</v>
      </c>
      <c r="I29" s="38" t="s">
        <v>22</v>
      </c>
      <c r="J29" s="40"/>
      <c r="K29" s="40">
        <v>1.9</v>
      </c>
      <c r="L29" s="40"/>
      <c r="M29" s="40"/>
      <c r="N29" s="40"/>
      <c r="O29" s="40">
        <v>3</v>
      </c>
      <c r="P29" s="40"/>
      <c r="Q29" s="40"/>
      <c r="R29" s="40"/>
      <c r="S29" s="40"/>
      <c r="T29" s="40">
        <v>15.5</v>
      </c>
      <c r="U29" s="40">
        <v>6</v>
      </c>
      <c r="V29" s="40">
        <v>0</v>
      </c>
      <c r="W29" s="41">
        <v>0</v>
      </c>
      <c r="X29" s="41">
        <v>0</v>
      </c>
      <c r="Y29" s="41">
        <v>0</v>
      </c>
      <c r="Z29" s="41">
        <v>12</v>
      </c>
      <c r="AA29" s="42">
        <v>160</v>
      </c>
      <c r="AB29" s="40">
        <f t="shared" si="1"/>
        <v>121.6</v>
      </c>
      <c r="AC29" s="43"/>
      <c r="AD29" s="41"/>
      <c r="AE29" s="41"/>
      <c r="AF29" s="41"/>
      <c r="AG29" s="41"/>
      <c r="AH29" s="41"/>
      <c r="AI29" s="41"/>
      <c r="AJ29" s="41"/>
      <c r="AK29" s="44">
        <f t="shared" si="0"/>
        <v>121.6</v>
      </c>
      <c r="AL29" s="45"/>
      <c r="AM29" s="45"/>
      <c r="AN29" s="44"/>
      <c r="AO29" s="46"/>
    </row>
    <row r="30" spans="1:41" ht="21" customHeight="1" x14ac:dyDescent="0.2">
      <c r="A30" s="34">
        <v>26</v>
      </c>
      <c r="B30" s="35" t="s">
        <v>213</v>
      </c>
      <c r="C30" s="36">
        <v>25283616</v>
      </c>
      <c r="D30" s="38" t="s">
        <v>73</v>
      </c>
      <c r="E30" s="37" t="s">
        <v>198</v>
      </c>
      <c r="F30" s="38" t="s">
        <v>21</v>
      </c>
      <c r="G30" s="38" t="s">
        <v>8</v>
      </c>
      <c r="H30" s="39">
        <v>43864</v>
      </c>
      <c r="I30" s="38" t="s">
        <v>10</v>
      </c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>
        <v>51</v>
      </c>
      <c r="V30" s="40">
        <v>0</v>
      </c>
      <c r="W30" s="41">
        <v>0</v>
      </c>
      <c r="X30" s="41">
        <v>0</v>
      </c>
      <c r="Y30" s="41">
        <v>0</v>
      </c>
      <c r="Z30" s="41">
        <v>0</v>
      </c>
      <c r="AA30" s="42">
        <v>320</v>
      </c>
      <c r="AB30" s="40">
        <f t="shared" si="1"/>
        <v>269</v>
      </c>
      <c r="AC30" s="43"/>
      <c r="AD30" s="41"/>
      <c r="AE30" s="80"/>
      <c r="AF30" s="80"/>
      <c r="AG30" s="41"/>
      <c r="AH30" s="41"/>
      <c r="AI30" s="41"/>
      <c r="AJ30" s="41"/>
      <c r="AK30" s="44">
        <f t="shared" si="0"/>
        <v>269</v>
      </c>
      <c r="AL30" s="81"/>
      <c r="AM30" s="81"/>
      <c r="AN30" s="82"/>
      <c r="AO30" s="83"/>
    </row>
    <row r="31" spans="1:41" ht="21" customHeight="1" x14ac:dyDescent="0.2">
      <c r="A31" s="34">
        <v>27</v>
      </c>
      <c r="B31" s="35" t="s">
        <v>214</v>
      </c>
      <c r="C31" s="36">
        <v>94378416</v>
      </c>
      <c r="D31" s="38" t="s">
        <v>73</v>
      </c>
      <c r="E31" s="37" t="s">
        <v>198</v>
      </c>
      <c r="F31" s="38" t="s">
        <v>201</v>
      </c>
      <c r="G31" s="38" t="s">
        <v>8</v>
      </c>
      <c r="H31" s="39">
        <v>41436</v>
      </c>
      <c r="I31" s="38" t="s">
        <v>11</v>
      </c>
      <c r="J31" s="40"/>
      <c r="K31" s="40"/>
      <c r="L31" s="40"/>
      <c r="M31" s="40"/>
      <c r="N31" s="40">
        <v>74.7</v>
      </c>
      <c r="O31" s="40">
        <v>45.8</v>
      </c>
      <c r="P31" s="40">
        <v>36.299999999999997</v>
      </c>
      <c r="Q31" s="40">
        <v>30</v>
      </c>
      <c r="R31" s="40"/>
      <c r="S31" s="40">
        <v>58.7</v>
      </c>
      <c r="T31" s="40">
        <v>34</v>
      </c>
      <c r="U31" s="40">
        <v>13.1</v>
      </c>
      <c r="V31" s="40">
        <v>27.4</v>
      </c>
      <c r="W31" s="43">
        <v>49.9</v>
      </c>
      <c r="X31" s="43">
        <v>20.2</v>
      </c>
      <c r="Y31" s="43">
        <v>56.6</v>
      </c>
      <c r="Z31" s="43">
        <v>55.199999999999996</v>
      </c>
      <c r="AA31" s="42">
        <v>540</v>
      </c>
      <c r="AB31" s="40">
        <f t="shared" si="1"/>
        <v>38.100000000000023</v>
      </c>
      <c r="AC31" s="43"/>
      <c r="AD31" s="43"/>
      <c r="AE31" s="43"/>
      <c r="AF31" s="43"/>
      <c r="AG31" s="43"/>
      <c r="AH31" s="43"/>
      <c r="AI31" s="43"/>
      <c r="AJ31" s="43"/>
      <c r="AK31" s="44">
        <f t="shared" si="0"/>
        <v>38.100000000000023</v>
      </c>
      <c r="AL31" s="81"/>
      <c r="AM31" s="81"/>
      <c r="AN31" s="82"/>
      <c r="AO31" s="83"/>
    </row>
    <row r="32" spans="1:41" ht="38.25" x14ac:dyDescent="0.2">
      <c r="A32" s="34">
        <v>28</v>
      </c>
      <c r="B32" s="35" t="s">
        <v>215</v>
      </c>
      <c r="C32" s="36">
        <v>41942253</v>
      </c>
      <c r="D32" s="37" t="s">
        <v>76</v>
      </c>
      <c r="E32" s="37" t="s">
        <v>194</v>
      </c>
      <c r="F32" s="37" t="s">
        <v>21</v>
      </c>
      <c r="G32" s="38" t="s">
        <v>8</v>
      </c>
      <c r="H32" s="39">
        <v>41883</v>
      </c>
      <c r="I32" s="38" t="s">
        <v>10</v>
      </c>
      <c r="J32" s="40"/>
      <c r="K32" s="40"/>
      <c r="L32" s="40"/>
      <c r="M32" s="40"/>
      <c r="N32" s="40"/>
      <c r="O32" s="40">
        <v>12.7</v>
      </c>
      <c r="P32" s="40"/>
      <c r="Q32" s="40">
        <v>57.8</v>
      </c>
      <c r="R32" s="40">
        <v>14.4</v>
      </c>
      <c r="S32" s="40">
        <v>11.5</v>
      </c>
      <c r="T32" s="40">
        <v>4</v>
      </c>
      <c r="U32" s="40">
        <v>0</v>
      </c>
      <c r="V32" s="40">
        <v>11.8</v>
      </c>
      <c r="W32" s="41">
        <v>0</v>
      </c>
      <c r="X32" s="41">
        <v>15.5</v>
      </c>
      <c r="Y32" s="41">
        <v>0</v>
      </c>
      <c r="Z32" s="41">
        <v>0</v>
      </c>
      <c r="AA32" s="42">
        <v>320</v>
      </c>
      <c r="AB32" s="40">
        <f t="shared" si="1"/>
        <v>192.3</v>
      </c>
      <c r="AC32" s="43"/>
      <c r="AD32" s="41"/>
      <c r="AE32" s="41"/>
      <c r="AF32" s="41"/>
      <c r="AG32" s="41"/>
      <c r="AH32" s="41"/>
      <c r="AI32" s="41"/>
      <c r="AJ32" s="41"/>
      <c r="AK32" s="44">
        <f t="shared" si="0"/>
        <v>192.3</v>
      </c>
      <c r="AL32" s="45"/>
      <c r="AM32" s="45"/>
      <c r="AN32" s="44"/>
      <c r="AO32" s="46"/>
    </row>
    <row r="33" spans="1:41" s="168" customFormat="1" ht="38.25" x14ac:dyDescent="0.2">
      <c r="A33" s="34">
        <v>29</v>
      </c>
      <c r="B33" s="70" t="s">
        <v>216</v>
      </c>
      <c r="C33" s="71">
        <v>1094878677</v>
      </c>
      <c r="D33" s="73" t="s">
        <v>76</v>
      </c>
      <c r="E33" s="73" t="s">
        <v>194</v>
      </c>
      <c r="F33" s="73" t="s">
        <v>17</v>
      </c>
      <c r="G33" s="72" t="s">
        <v>8</v>
      </c>
      <c r="H33" s="84">
        <v>45091</v>
      </c>
      <c r="I33" s="72" t="s">
        <v>22</v>
      </c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6"/>
      <c r="X33" s="76">
        <v>43.3</v>
      </c>
      <c r="Y33" s="76">
        <v>36.299999999999997</v>
      </c>
      <c r="Z33" s="76">
        <v>80.400000000000006</v>
      </c>
      <c r="AA33" s="77">
        <v>160</v>
      </c>
      <c r="AB33" s="40">
        <f t="shared" si="1"/>
        <v>0</v>
      </c>
      <c r="AC33" s="76"/>
      <c r="AD33" s="76"/>
      <c r="AE33" s="76"/>
      <c r="AF33" s="76"/>
      <c r="AG33" s="76"/>
      <c r="AH33" s="76"/>
      <c r="AI33" s="76"/>
      <c r="AJ33" s="76"/>
      <c r="AK33" s="78">
        <f t="shared" si="0"/>
        <v>0</v>
      </c>
      <c r="AL33" s="65"/>
      <c r="AM33" s="65"/>
      <c r="AN33" s="78"/>
      <c r="AO33" s="79"/>
    </row>
    <row r="34" spans="1:41" ht="38.25" x14ac:dyDescent="0.2">
      <c r="A34" s="34">
        <v>30</v>
      </c>
      <c r="B34" s="35" t="s">
        <v>217</v>
      </c>
      <c r="C34" s="36">
        <v>41955076</v>
      </c>
      <c r="D34" s="37" t="s">
        <v>76</v>
      </c>
      <c r="E34" s="37" t="s">
        <v>194</v>
      </c>
      <c r="F34" s="37" t="s">
        <v>17</v>
      </c>
      <c r="G34" s="38" t="s">
        <v>8</v>
      </c>
      <c r="H34" s="69">
        <v>45078</v>
      </c>
      <c r="I34" s="38" t="s">
        <v>62</v>
      </c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1"/>
      <c r="X34" s="41">
        <v>0</v>
      </c>
      <c r="Y34" s="41">
        <v>0</v>
      </c>
      <c r="Z34" s="41">
        <v>0</v>
      </c>
      <c r="AA34" s="42">
        <v>80</v>
      </c>
      <c r="AB34" s="40">
        <f t="shared" si="1"/>
        <v>80</v>
      </c>
      <c r="AC34" s="43"/>
      <c r="AD34" s="41"/>
      <c r="AE34" s="41"/>
      <c r="AF34" s="41"/>
      <c r="AG34" s="41"/>
      <c r="AH34" s="41"/>
      <c r="AI34" s="41"/>
      <c r="AJ34" s="41"/>
      <c r="AK34" s="44">
        <f t="shared" si="0"/>
        <v>80</v>
      </c>
      <c r="AL34" s="45"/>
      <c r="AM34" s="45"/>
      <c r="AN34" s="44"/>
      <c r="AO34" s="46"/>
    </row>
    <row r="35" spans="1:41" ht="21" customHeight="1" x14ac:dyDescent="0.2">
      <c r="A35" s="34">
        <v>31</v>
      </c>
      <c r="B35" s="35" t="s">
        <v>218</v>
      </c>
      <c r="C35" s="36">
        <v>75064983</v>
      </c>
      <c r="D35" s="37" t="s">
        <v>219</v>
      </c>
      <c r="E35" s="37" t="s">
        <v>194</v>
      </c>
      <c r="F35" s="37" t="s">
        <v>201</v>
      </c>
      <c r="G35" s="38" t="s">
        <v>8</v>
      </c>
      <c r="H35" s="39">
        <v>40394</v>
      </c>
      <c r="I35" s="38" t="s">
        <v>11</v>
      </c>
      <c r="J35" s="40"/>
      <c r="K35" s="40"/>
      <c r="L35" s="40"/>
      <c r="M35" s="40">
        <v>11.9</v>
      </c>
      <c r="N35" s="40">
        <v>15</v>
      </c>
      <c r="O35" s="40">
        <v>23</v>
      </c>
      <c r="P35" s="40">
        <v>8</v>
      </c>
      <c r="Q35" s="40"/>
      <c r="R35" s="40"/>
      <c r="S35" s="40">
        <v>86.3</v>
      </c>
      <c r="T35" s="40">
        <v>4.7</v>
      </c>
      <c r="U35" s="40">
        <v>0</v>
      </c>
      <c r="V35" s="40">
        <v>8</v>
      </c>
      <c r="W35" s="41">
        <v>3</v>
      </c>
      <c r="X35" s="41">
        <v>1.5</v>
      </c>
      <c r="Y35" s="41">
        <v>0</v>
      </c>
      <c r="Z35" s="41">
        <v>23.9</v>
      </c>
      <c r="AA35" s="42">
        <v>540</v>
      </c>
      <c r="AB35" s="40">
        <f t="shared" si="1"/>
        <v>354.70000000000005</v>
      </c>
      <c r="AC35" s="43"/>
      <c r="AD35" s="41"/>
      <c r="AE35" s="41"/>
      <c r="AF35" s="41"/>
      <c r="AG35" s="41"/>
      <c r="AH35" s="41"/>
      <c r="AI35" s="41"/>
      <c r="AJ35" s="41"/>
      <c r="AK35" s="44">
        <f t="shared" si="0"/>
        <v>354.70000000000005</v>
      </c>
      <c r="AL35" s="45"/>
      <c r="AM35" s="45"/>
      <c r="AN35" s="44"/>
      <c r="AO35" s="46"/>
    </row>
    <row r="36" spans="1:41" ht="21" customHeight="1" x14ac:dyDescent="0.2">
      <c r="A36" s="34">
        <v>32</v>
      </c>
      <c r="B36" s="35" t="s">
        <v>220</v>
      </c>
      <c r="C36" s="36">
        <v>25156982</v>
      </c>
      <c r="D36" s="37" t="s">
        <v>219</v>
      </c>
      <c r="E36" s="37" t="s">
        <v>194</v>
      </c>
      <c r="F36" s="37" t="s">
        <v>17</v>
      </c>
      <c r="G36" s="38" t="s">
        <v>8</v>
      </c>
      <c r="H36" s="39">
        <v>39664</v>
      </c>
      <c r="I36" s="38" t="s">
        <v>11</v>
      </c>
      <c r="J36" s="40">
        <v>13.5</v>
      </c>
      <c r="K36" s="40"/>
      <c r="L36" s="40"/>
      <c r="M36" s="40"/>
      <c r="N36" s="40"/>
      <c r="O36" s="40"/>
      <c r="P36" s="40">
        <v>8</v>
      </c>
      <c r="Q36" s="40">
        <v>12</v>
      </c>
      <c r="R36" s="40">
        <v>3</v>
      </c>
      <c r="S36" s="40"/>
      <c r="T36" s="40">
        <v>31.3</v>
      </c>
      <c r="U36" s="40">
        <v>0</v>
      </c>
      <c r="V36" s="40">
        <v>6.2</v>
      </c>
      <c r="W36" s="41">
        <v>16.7</v>
      </c>
      <c r="X36" s="41">
        <v>0</v>
      </c>
      <c r="Y36" s="41">
        <v>0</v>
      </c>
      <c r="Z36" s="41">
        <v>14.1</v>
      </c>
      <c r="AA36" s="42">
        <v>540</v>
      </c>
      <c r="AB36" s="40">
        <f t="shared" si="1"/>
        <v>435.2</v>
      </c>
      <c r="AC36" s="43"/>
      <c r="AD36" s="41"/>
      <c r="AE36" s="41"/>
      <c r="AF36" s="41"/>
      <c r="AG36" s="41"/>
      <c r="AH36" s="41"/>
      <c r="AI36" s="41"/>
      <c r="AJ36" s="41"/>
      <c r="AK36" s="44">
        <f t="shared" si="0"/>
        <v>435.2</v>
      </c>
      <c r="AL36" s="41"/>
      <c r="AM36" s="65"/>
      <c r="AN36" s="44"/>
      <c r="AO36" s="46"/>
    </row>
    <row r="37" spans="1:41" ht="21" customHeight="1" x14ac:dyDescent="0.2">
      <c r="A37" s="34">
        <v>33</v>
      </c>
      <c r="B37" s="35" t="s">
        <v>221</v>
      </c>
      <c r="C37" s="36">
        <v>70081587</v>
      </c>
      <c r="D37" s="37" t="s">
        <v>219</v>
      </c>
      <c r="E37" s="37" t="s">
        <v>194</v>
      </c>
      <c r="F37" s="37" t="s">
        <v>201</v>
      </c>
      <c r="G37" s="38" t="s">
        <v>8</v>
      </c>
      <c r="H37" s="39">
        <v>34171</v>
      </c>
      <c r="I37" s="38" t="s">
        <v>11</v>
      </c>
      <c r="J37" s="40">
        <v>63.9</v>
      </c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>
        <v>0</v>
      </c>
      <c r="V37" s="40">
        <v>0</v>
      </c>
      <c r="W37" s="41">
        <v>0</v>
      </c>
      <c r="X37" s="41">
        <v>0</v>
      </c>
      <c r="Y37" s="41">
        <v>0</v>
      </c>
      <c r="Z37" s="41">
        <v>0</v>
      </c>
      <c r="AA37" s="42">
        <v>540</v>
      </c>
      <c r="AB37" s="40">
        <f t="shared" si="1"/>
        <v>476.1</v>
      </c>
      <c r="AC37" s="43"/>
      <c r="AD37" s="41"/>
      <c r="AE37" s="41"/>
      <c r="AF37" s="41"/>
      <c r="AG37" s="41"/>
      <c r="AH37" s="41"/>
      <c r="AI37" s="41"/>
      <c r="AJ37" s="41"/>
      <c r="AK37" s="44">
        <f t="shared" si="0"/>
        <v>476.1</v>
      </c>
      <c r="AL37" s="45"/>
      <c r="AM37" s="45"/>
      <c r="AN37" s="44"/>
      <c r="AO37" s="46"/>
    </row>
    <row r="38" spans="1:41" ht="21" customHeight="1" x14ac:dyDescent="0.2">
      <c r="A38" s="34">
        <v>34</v>
      </c>
      <c r="B38" s="35" t="s">
        <v>222</v>
      </c>
      <c r="C38" s="36">
        <v>52070041</v>
      </c>
      <c r="D38" s="37" t="s">
        <v>219</v>
      </c>
      <c r="E38" s="37" t="s">
        <v>194</v>
      </c>
      <c r="F38" s="37" t="s">
        <v>21</v>
      </c>
      <c r="G38" s="38" t="s">
        <v>8</v>
      </c>
      <c r="H38" s="39">
        <v>38800</v>
      </c>
      <c r="I38" s="38" t="s">
        <v>11</v>
      </c>
      <c r="J38" s="40">
        <v>12</v>
      </c>
      <c r="K38" s="40"/>
      <c r="L38" s="40">
        <v>21.1</v>
      </c>
      <c r="M38" s="40"/>
      <c r="N38" s="40"/>
      <c r="O38" s="40">
        <v>13.7</v>
      </c>
      <c r="P38" s="40">
        <v>12</v>
      </c>
      <c r="Q38" s="40">
        <v>12</v>
      </c>
      <c r="R38" s="40">
        <v>6</v>
      </c>
      <c r="S38" s="40">
        <v>25.4</v>
      </c>
      <c r="T38" s="40">
        <v>28.1</v>
      </c>
      <c r="U38" s="40">
        <v>0</v>
      </c>
      <c r="V38" s="40">
        <v>3.2</v>
      </c>
      <c r="W38" s="41">
        <v>35</v>
      </c>
      <c r="X38" s="41">
        <v>0</v>
      </c>
      <c r="Y38" s="41">
        <v>27</v>
      </c>
      <c r="Z38" s="41">
        <v>0</v>
      </c>
      <c r="AA38" s="42">
        <v>540</v>
      </c>
      <c r="AB38" s="40">
        <f t="shared" si="1"/>
        <v>344.5</v>
      </c>
      <c r="AC38" s="43"/>
      <c r="AD38" s="41"/>
      <c r="AE38" s="41"/>
      <c r="AF38" s="41"/>
      <c r="AG38" s="41"/>
      <c r="AH38" s="41"/>
      <c r="AI38" s="41"/>
      <c r="AJ38" s="41"/>
      <c r="AK38" s="44">
        <f t="shared" si="0"/>
        <v>344.5</v>
      </c>
      <c r="AL38" s="85"/>
      <c r="AM38" s="45"/>
      <c r="AN38" s="44"/>
      <c r="AO38" s="46"/>
    </row>
    <row r="39" spans="1:41" ht="21" customHeight="1" x14ac:dyDescent="0.2">
      <c r="A39" s="34">
        <v>35</v>
      </c>
      <c r="B39" s="35" t="s">
        <v>223</v>
      </c>
      <c r="C39" s="36">
        <v>93357542</v>
      </c>
      <c r="D39" s="37" t="s">
        <v>219</v>
      </c>
      <c r="E39" s="37" t="s">
        <v>194</v>
      </c>
      <c r="F39" s="37" t="s">
        <v>201</v>
      </c>
      <c r="G39" s="38" t="s">
        <v>8</v>
      </c>
      <c r="H39" s="39">
        <v>41673</v>
      </c>
      <c r="I39" s="38" t="s">
        <v>11</v>
      </c>
      <c r="J39" s="40"/>
      <c r="K39" s="40"/>
      <c r="L39" s="40"/>
      <c r="M39" s="40"/>
      <c r="N39" s="40"/>
      <c r="O39" s="40">
        <v>26.4</v>
      </c>
      <c r="P39" s="40"/>
      <c r="Q39" s="40">
        <v>6</v>
      </c>
      <c r="R39" s="40"/>
      <c r="S39" s="40"/>
      <c r="T39" s="40">
        <v>29.1</v>
      </c>
      <c r="U39" s="40">
        <v>0</v>
      </c>
      <c r="V39" s="40">
        <v>0</v>
      </c>
      <c r="W39" s="41">
        <v>18.5</v>
      </c>
      <c r="X39" s="41">
        <v>0</v>
      </c>
      <c r="Y39" s="41">
        <v>0</v>
      </c>
      <c r="Z39" s="41">
        <v>14.1</v>
      </c>
      <c r="AA39" s="42">
        <v>540</v>
      </c>
      <c r="AB39" s="40">
        <f t="shared" si="1"/>
        <v>445.9</v>
      </c>
      <c r="AC39" s="43"/>
      <c r="AD39" s="41"/>
      <c r="AE39" s="41"/>
      <c r="AF39" s="41"/>
      <c r="AG39" s="41"/>
      <c r="AH39" s="41"/>
      <c r="AI39" s="41"/>
      <c r="AJ39" s="41"/>
      <c r="AK39" s="44">
        <f t="shared" si="0"/>
        <v>445.9</v>
      </c>
      <c r="AL39" s="41"/>
      <c r="AM39" s="45"/>
      <c r="AN39" s="44"/>
      <c r="AO39" s="46"/>
    </row>
    <row r="40" spans="1:41" ht="21" customHeight="1" x14ac:dyDescent="0.2">
      <c r="A40" s="34">
        <v>36</v>
      </c>
      <c r="B40" s="35" t="s">
        <v>224</v>
      </c>
      <c r="C40" s="36">
        <v>25213746</v>
      </c>
      <c r="D40" s="37" t="s">
        <v>219</v>
      </c>
      <c r="E40" s="37" t="s">
        <v>194</v>
      </c>
      <c r="F40" s="37" t="s">
        <v>201</v>
      </c>
      <c r="G40" s="38" t="s">
        <v>8</v>
      </c>
      <c r="H40" s="39">
        <v>42955</v>
      </c>
      <c r="I40" s="38" t="s">
        <v>10</v>
      </c>
      <c r="J40" s="40"/>
      <c r="K40" s="40"/>
      <c r="L40" s="40"/>
      <c r="M40" s="40"/>
      <c r="N40" s="40"/>
      <c r="O40" s="40"/>
      <c r="P40" s="40"/>
      <c r="Q40" s="40"/>
      <c r="R40" s="40">
        <v>16.100000000000001</v>
      </c>
      <c r="S40" s="40"/>
      <c r="T40" s="40">
        <v>16.600000000000001</v>
      </c>
      <c r="U40" s="40">
        <v>0</v>
      </c>
      <c r="V40" s="40">
        <v>3</v>
      </c>
      <c r="W40" s="41">
        <v>0</v>
      </c>
      <c r="X40" s="41">
        <v>0</v>
      </c>
      <c r="Y40" s="41">
        <v>0</v>
      </c>
      <c r="Z40" s="41">
        <v>0</v>
      </c>
      <c r="AA40" s="42">
        <v>320</v>
      </c>
      <c r="AB40" s="40">
        <f t="shared" si="1"/>
        <v>284.3</v>
      </c>
      <c r="AC40" s="43"/>
      <c r="AD40" s="41"/>
      <c r="AE40" s="41"/>
      <c r="AF40" s="41"/>
      <c r="AG40" s="41"/>
      <c r="AH40" s="41"/>
      <c r="AI40" s="41"/>
      <c r="AJ40" s="41"/>
      <c r="AK40" s="44">
        <f t="shared" si="0"/>
        <v>284.3</v>
      </c>
      <c r="AL40" s="45"/>
      <c r="AM40" s="45"/>
      <c r="AN40" s="44"/>
      <c r="AO40" s="46"/>
    </row>
    <row r="41" spans="1:41" s="168" customFormat="1" ht="21" customHeight="1" x14ac:dyDescent="0.2">
      <c r="A41" s="34">
        <v>37</v>
      </c>
      <c r="B41" s="70" t="s">
        <v>225</v>
      </c>
      <c r="C41" s="71">
        <v>89004182</v>
      </c>
      <c r="D41" s="73" t="s">
        <v>219</v>
      </c>
      <c r="E41" s="73" t="s">
        <v>194</v>
      </c>
      <c r="F41" s="73" t="s">
        <v>21</v>
      </c>
      <c r="G41" s="72" t="s">
        <v>8</v>
      </c>
      <c r="H41" s="74">
        <v>44963</v>
      </c>
      <c r="I41" s="72" t="s">
        <v>22</v>
      </c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6"/>
      <c r="X41" s="76">
        <v>57.4</v>
      </c>
      <c r="Y41" s="76">
        <v>36.299999999999997</v>
      </c>
      <c r="Z41" s="76">
        <v>66.3</v>
      </c>
      <c r="AA41" s="77">
        <v>160</v>
      </c>
      <c r="AB41" s="40">
        <f t="shared" si="1"/>
        <v>0</v>
      </c>
      <c r="AC41" s="76"/>
      <c r="AD41" s="76"/>
      <c r="AE41" s="76"/>
      <c r="AF41" s="76"/>
      <c r="AG41" s="76"/>
      <c r="AH41" s="76"/>
      <c r="AI41" s="76"/>
      <c r="AJ41" s="76"/>
      <c r="AK41" s="78">
        <f t="shared" si="0"/>
        <v>0</v>
      </c>
      <c r="AL41" s="65"/>
      <c r="AM41" s="65"/>
      <c r="AN41" s="78"/>
      <c r="AO41" s="79"/>
    </row>
    <row r="42" spans="1:41" ht="21" customHeight="1" x14ac:dyDescent="0.2">
      <c r="A42" s="34">
        <v>38</v>
      </c>
      <c r="B42" s="35" t="s">
        <v>226</v>
      </c>
      <c r="C42" s="36">
        <v>89009806</v>
      </c>
      <c r="D42" s="37" t="s">
        <v>219</v>
      </c>
      <c r="E42" s="37" t="s">
        <v>194</v>
      </c>
      <c r="F42" s="37" t="s">
        <v>17</v>
      </c>
      <c r="G42" s="38" t="s">
        <v>8</v>
      </c>
      <c r="H42" s="39">
        <v>40394</v>
      </c>
      <c r="I42" s="38" t="s">
        <v>22</v>
      </c>
      <c r="J42" s="40"/>
      <c r="K42" s="40"/>
      <c r="L42" s="40"/>
      <c r="M42" s="40"/>
      <c r="N42" s="40"/>
      <c r="O42" s="40"/>
      <c r="P42" s="40"/>
      <c r="Q42" s="40"/>
      <c r="R42" s="40">
        <v>5.8</v>
      </c>
      <c r="S42" s="40"/>
      <c r="T42" s="40"/>
      <c r="U42" s="40">
        <v>0</v>
      </c>
      <c r="V42" s="40">
        <v>0</v>
      </c>
      <c r="W42" s="41">
        <v>15</v>
      </c>
      <c r="X42" s="41">
        <v>7</v>
      </c>
      <c r="Y42" s="41">
        <v>0</v>
      </c>
      <c r="Z42" s="41">
        <v>0</v>
      </c>
      <c r="AA42" s="42">
        <v>160</v>
      </c>
      <c r="AB42" s="40">
        <f t="shared" si="1"/>
        <v>132.19999999999999</v>
      </c>
      <c r="AC42" s="43"/>
      <c r="AD42" s="41"/>
      <c r="AE42" s="41"/>
      <c r="AF42" s="41"/>
      <c r="AG42" s="41"/>
      <c r="AH42" s="41"/>
      <c r="AI42" s="41"/>
      <c r="AJ42" s="41"/>
      <c r="AK42" s="44">
        <f t="shared" si="0"/>
        <v>132.19999999999999</v>
      </c>
      <c r="AL42" s="45"/>
      <c r="AM42" s="45"/>
      <c r="AN42" s="44"/>
      <c r="AO42" s="46"/>
    </row>
    <row r="43" spans="1:41" ht="21" customHeight="1" x14ac:dyDescent="0.2">
      <c r="A43" s="34">
        <v>39</v>
      </c>
      <c r="B43" s="86" t="s">
        <v>227</v>
      </c>
      <c r="C43" s="87">
        <v>41913187</v>
      </c>
      <c r="D43" s="88" t="s">
        <v>67</v>
      </c>
      <c r="E43" s="89" t="s">
        <v>177</v>
      </c>
      <c r="F43" s="88" t="s">
        <v>17</v>
      </c>
      <c r="G43" s="88" t="s">
        <v>8</v>
      </c>
      <c r="H43" s="90">
        <v>42955</v>
      </c>
      <c r="I43" s="88" t="s">
        <v>10</v>
      </c>
      <c r="J43" s="91"/>
      <c r="K43" s="91"/>
      <c r="L43" s="91"/>
      <c r="M43" s="91"/>
      <c r="N43" s="91"/>
      <c r="O43" s="91"/>
      <c r="P43" s="91"/>
      <c r="Q43" s="91"/>
      <c r="R43" s="91">
        <v>75</v>
      </c>
      <c r="S43" s="91">
        <v>62.7</v>
      </c>
      <c r="T43" s="91">
        <v>22.3</v>
      </c>
      <c r="U43" s="91">
        <v>0</v>
      </c>
      <c r="V43" s="91">
        <v>0</v>
      </c>
      <c r="W43" s="41">
        <v>0</v>
      </c>
      <c r="X43" s="41">
        <v>9.8000000000000007</v>
      </c>
      <c r="Y43" s="41">
        <v>16.2</v>
      </c>
      <c r="Z43" s="41">
        <v>11.5</v>
      </c>
      <c r="AA43" s="92">
        <v>320</v>
      </c>
      <c r="AB43" s="40">
        <f t="shared" si="1"/>
        <v>122.5</v>
      </c>
      <c r="AC43" s="43"/>
      <c r="AD43" s="93"/>
      <c r="AE43" s="93"/>
      <c r="AF43" s="93"/>
      <c r="AG43" s="93"/>
      <c r="AH43" s="93"/>
      <c r="AI43" s="93"/>
      <c r="AJ43" s="93"/>
      <c r="AK43" s="44">
        <f t="shared" si="0"/>
        <v>122.5</v>
      </c>
      <c r="AL43" s="45"/>
      <c r="AM43" s="65"/>
      <c r="AN43" s="78"/>
      <c r="AO43" s="79"/>
    </row>
    <row r="44" spans="1:41" ht="21" customHeight="1" x14ac:dyDescent="0.2">
      <c r="A44" s="34">
        <v>40</v>
      </c>
      <c r="B44" s="35" t="s">
        <v>228</v>
      </c>
      <c r="C44" s="36">
        <v>7542144</v>
      </c>
      <c r="D44" s="38" t="s">
        <v>67</v>
      </c>
      <c r="E44" s="37" t="s">
        <v>177</v>
      </c>
      <c r="F44" s="38" t="s">
        <v>17</v>
      </c>
      <c r="G44" s="38" t="s">
        <v>8</v>
      </c>
      <c r="H44" s="39">
        <v>39829</v>
      </c>
      <c r="I44" s="38" t="s">
        <v>10</v>
      </c>
      <c r="J44" s="40">
        <v>53.8</v>
      </c>
      <c r="K44" s="40"/>
      <c r="L44" s="40">
        <v>14.8</v>
      </c>
      <c r="M44" s="40"/>
      <c r="N44" s="40">
        <v>3</v>
      </c>
      <c r="O44" s="40">
        <v>15</v>
      </c>
      <c r="P44" s="40">
        <v>12</v>
      </c>
      <c r="Q44" s="40"/>
      <c r="R44" s="40">
        <v>19.2</v>
      </c>
      <c r="S44" s="40">
        <v>3</v>
      </c>
      <c r="T44" s="40"/>
      <c r="U44" s="40">
        <v>0</v>
      </c>
      <c r="V44" s="40">
        <v>14.3</v>
      </c>
      <c r="W44" s="41">
        <v>0</v>
      </c>
      <c r="X44" s="41">
        <v>11.9</v>
      </c>
      <c r="Y44" s="41">
        <v>0</v>
      </c>
      <c r="Z44" s="41">
        <v>0</v>
      </c>
      <c r="AA44" s="42">
        <v>320</v>
      </c>
      <c r="AB44" s="40">
        <f t="shared" si="1"/>
        <v>173</v>
      </c>
      <c r="AC44" s="43"/>
      <c r="AD44" s="41"/>
      <c r="AE44" s="41"/>
      <c r="AF44" s="41"/>
      <c r="AG44" s="41"/>
      <c r="AH44" s="41"/>
      <c r="AI44" s="41"/>
      <c r="AJ44" s="41"/>
      <c r="AK44" s="44">
        <f t="shared" si="0"/>
        <v>173</v>
      </c>
      <c r="AL44" s="45"/>
      <c r="AM44" s="45"/>
      <c r="AN44" s="44"/>
      <c r="AO44" s="46"/>
    </row>
    <row r="45" spans="1:41" ht="21" customHeight="1" x14ac:dyDescent="0.2">
      <c r="A45" s="34">
        <v>41</v>
      </c>
      <c r="B45" s="86" t="s">
        <v>229</v>
      </c>
      <c r="C45" s="87">
        <v>41943016</v>
      </c>
      <c r="D45" s="88" t="s">
        <v>67</v>
      </c>
      <c r="E45" s="89" t="s">
        <v>177</v>
      </c>
      <c r="F45" s="88" t="s">
        <v>201</v>
      </c>
      <c r="G45" s="88" t="s">
        <v>8</v>
      </c>
      <c r="H45" s="90">
        <v>39328</v>
      </c>
      <c r="I45" s="88" t="s">
        <v>10</v>
      </c>
      <c r="J45" s="91">
        <v>204</v>
      </c>
      <c r="K45" s="91">
        <v>28.3</v>
      </c>
      <c r="L45" s="91"/>
      <c r="M45" s="91"/>
      <c r="N45" s="91"/>
      <c r="O45" s="91"/>
      <c r="P45" s="91"/>
      <c r="Q45" s="91"/>
      <c r="R45" s="91"/>
      <c r="S45" s="91"/>
      <c r="T45" s="91"/>
      <c r="U45" s="91">
        <v>0</v>
      </c>
      <c r="V45" s="91">
        <v>0</v>
      </c>
      <c r="W45" s="93">
        <v>0</v>
      </c>
      <c r="X45" s="93">
        <v>0</v>
      </c>
      <c r="Y45" s="93">
        <v>0</v>
      </c>
      <c r="Z45" s="93">
        <v>0</v>
      </c>
      <c r="AA45" s="92">
        <v>320</v>
      </c>
      <c r="AB45" s="91">
        <f t="shared" si="1"/>
        <v>87.699999999999989</v>
      </c>
      <c r="AC45" s="93"/>
      <c r="AD45" s="93"/>
      <c r="AE45" s="93"/>
      <c r="AF45" s="93"/>
      <c r="AG45" s="93"/>
      <c r="AH45" s="93"/>
      <c r="AI45" s="93"/>
      <c r="AJ45" s="93"/>
      <c r="AK45" s="100">
        <f t="shared" si="0"/>
        <v>87.699999999999989</v>
      </c>
      <c r="AL45" s="50"/>
      <c r="AM45" s="50"/>
      <c r="AN45" s="100"/>
      <c r="AO45" s="89"/>
    </row>
    <row r="46" spans="1:41" ht="21" customHeight="1" x14ac:dyDescent="0.2">
      <c r="A46" s="34">
        <v>42</v>
      </c>
      <c r="B46" s="35" t="s">
        <v>230</v>
      </c>
      <c r="C46" s="36">
        <v>18390106</v>
      </c>
      <c r="D46" s="38" t="s">
        <v>67</v>
      </c>
      <c r="E46" s="37" t="s">
        <v>177</v>
      </c>
      <c r="F46" s="38" t="s">
        <v>17</v>
      </c>
      <c r="G46" s="38" t="s">
        <v>8</v>
      </c>
      <c r="H46" s="39">
        <v>43864</v>
      </c>
      <c r="I46" s="38" t="s">
        <v>10</v>
      </c>
      <c r="J46" s="75"/>
      <c r="K46" s="75"/>
      <c r="L46" s="75"/>
      <c r="M46" s="75"/>
      <c r="N46" s="75"/>
      <c r="O46" s="75"/>
      <c r="P46" s="75"/>
      <c r="Q46" s="75"/>
      <c r="R46" s="75"/>
      <c r="S46" s="75"/>
      <c r="T46" s="75"/>
      <c r="U46" s="40">
        <v>25.6</v>
      </c>
      <c r="V46" s="40">
        <v>0</v>
      </c>
      <c r="W46" s="41">
        <v>0</v>
      </c>
      <c r="X46" s="41">
        <v>0</v>
      </c>
      <c r="Y46" s="41">
        <v>11.3</v>
      </c>
      <c r="Z46" s="41">
        <v>0</v>
      </c>
      <c r="AA46" s="42">
        <v>320</v>
      </c>
      <c r="AB46" s="40">
        <f t="shared" si="1"/>
        <v>283.10000000000002</v>
      </c>
      <c r="AC46" s="43"/>
      <c r="AD46" s="41"/>
      <c r="AE46" s="76"/>
      <c r="AF46" s="93"/>
      <c r="AG46" s="41"/>
      <c r="AH46" s="41"/>
      <c r="AI46" s="41"/>
      <c r="AJ46" s="41"/>
      <c r="AK46" s="44">
        <f t="shared" si="0"/>
        <v>283.10000000000002</v>
      </c>
      <c r="AL46" s="50"/>
      <c r="AM46" s="50"/>
      <c r="AN46" s="78"/>
      <c r="AO46" s="73"/>
    </row>
    <row r="47" spans="1:41" ht="21" customHeight="1" x14ac:dyDescent="0.2">
      <c r="A47" s="34">
        <v>43</v>
      </c>
      <c r="B47" s="35" t="s">
        <v>231</v>
      </c>
      <c r="C47" s="36">
        <v>24580502</v>
      </c>
      <c r="D47" s="38" t="s">
        <v>67</v>
      </c>
      <c r="E47" s="37" t="s">
        <v>177</v>
      </c>
      <c r="F47" s="38" t="s">
        <v>17</v>
      </c>
      <c r="G47" s="38" t="s">
        <v>8</v>
      </c>
      <c r="H47" s="39">
        <v>42955</v>
      </c>
      <c r="I47" s="38" t="s">
        <v>10</v>
      </c>
      <c r="J47" s="75"/>
      <c r="K47" s="75"/>
      <c r="L47" s="75"/>
      <c r="M47" s="75"/>
      <c r="N47" s="75"/>
      <c r="O47" s="75"/>
      <c r="P47" s="75"/>
      <c r="Q47" s="75"/>
      <c r="R47" s="40">
        <v>47.5</v>
      </c>
      <c r="S47" s="40">
        <v>47.6</v>
      </c>
      <c r="T47" s="40"/>
      <c r="U47" s="40">
        <v>24.4</v>
      </c>
      <c r="V47" s="40">
        <v>12.1</v>
      </c>
      <c r="W47" s="41">
        <v>3</v>
      </c>
      <c r="X47" s="41">
        <v>22.700000000000003</v>
      </c>
      <c r="Y47" s="41">
        <v>15.9</v>
      </c>
      <c r="Z47" s="41">
        <v>28.1</v>
      </c>
      <c r="AA47" s="42">
        <v>320</v>
      </c>
      <c r="AB47" s="40">
        <f t="shared" si="1"/>
        <v>118.69999999999999</v>
      </c>
      <c r="AC47" s="43"/>
      <c r="AD47" s="41"/>
      <c r="AE47" s="41"/>
      <c r="AF47" s="41"/>
      <c r="AG47" s="41"/>
      <c r="AH47" s="41"/>
      <c r="AI47" s="41"/>
      <c r="AJ47" s="41"/>
      <c r="AK47" s="44">
        <f t="shared" si="0"/>
        <v>118.69999999999999</v>
      </c>
      <c r="AL47" s="45"/>
      <c r="AM47" s="45"/>
      <c r="AN47" s="44"/>
      <c r="AO47" s="46"/>
    </row>
    <row r="48" spans="1:41" ht="21" customHeight="1" x14ac:dyDescent="0.2">
      <c r="A48" s="34">
        <v>44</v>
      </c>
      <c r="B48" s="35" t="s">
        <v>232</v>
      </c>
      <c r="C48" s="36">
        <v>24580998</v>
      </c>
      <c r="D48" s="38" t="s">
        <v>67</v>
      </c>
      <c r="E48" s="37" t="s">
        <v>177</v>
      </c>
      <c r="F48" s="38" t="s">
        <v>17</v>
      </c>
      <c r="G48" s="38" t="s">
        <v>8</v>
      </c>
      <c r="H48" s="39">
        <v>39664</v>
      </c>
      <c r="I48" s="38" t="s">
        <v>10</v>
      </c>
      <c r="J48" s="40">
        <v>76.400000000000006</v>
      </c>
      <c r="K48" s="40">
        <v>12.5</v>
      </c>
      <c r="L48" s="40"/>
      <c r="M48" s="40">
        <v>14.6</v>
      </c>
      <c r="N48" s="40"/>
      <c r="O48" s="40">
        <v>12</v>
      </c>
      <c r="P48" s="40"/>
      <c r="Q48" s="40"/>
      <c r="R48" s="40"/>
      <c r="S48" s="40"/>
      <c r="T48" s="40"/>
      <c r="U48" s="40">
        <v>0</v>
      </c>
      <c r="V48" s="40">
        <v>0</v>
      </c>
      <c r="W48" s="41">
        <v>0</v>
      </c>
      <c r="X48" s="41">
        <v>12.4</v>
      </c>
      <c r="Y48" s="41">
        <v>0</v>
      </c>
      <c r="Z48" s="41">
        <v>14.5</v>
      </c>
      <c r="AA48" s="42">
        <v>320</v>
      </c>
      <c r="AB48" s="40">
        <f t="shared" si="1"/>
        <v>177.6</v>
      </c>
      <c r="AC48" s="43"/>
      <c r="AD48" s="41"/>
      <c r="AE48" s="41"/>
      <c r="AF48" s="41"/>
      <c r="AG48" s="41"/>
      <c r="AH48" s="41"/>
      <c r="AI48" s="41"/>
      <c r="AJ48" s="41"/>
      <c r="AK48" s="44">
        <f t="shared" si="0"/>
        <v>177.6</v>
      </c>
      <c r="AL48" s="45"/>
      <c r="AM48" s="45"/>
      <c r="AN48" s="44"/>
      <c r="AO48" s="46"/>
    </row>
    <row r="49" spans="1:41" ht="21" customHeight="1" x14ac:dyDescent="0.2">
      <c r="A49" s="34">
        <v>45</v>
      </c>
      <c r="B49" s="35" t="s">
        <v>233</v>
      </c>
      <c r="C49" s="36">
        <v>7528464</v>
      </c>
      <c r="D49" s="38" t="s">
        <v>67</v>
      </c>
      <c r="E49" s="37" t="s">
        <v>177</v>
      </c>
      <c r="F49" s="38" t="s">
        <v>17</v>
      </c>
      <c r="G49" s="38" t="s">
        <v>8</v>
      </c>
      <c r="H49" s="39">
        <v>34609</v>
      </c>
      <c r="I49" s="38" t="s">
        <v>10</v>
      </c>
      <c r="J49" s="40">
        <v>222.1</v>
      </c>
      <c r="K49" s="40">
        <v>28.3</v>
      </c>
      <c r="L49" s="40"/>
      <c r="M49" s="40"/>
      <c r="N49" s="40"/>
      <c r="O49" s="40"/>
      <c r="P49" s="40"/>
      <c r="Q49" s="40"/>
      <c r="R49" s="40"/>
      <c r="S49" s="40"/>
      <c r="T49" s="40"/>
      <c r="U49" s="40">
        <v>0</v>
      </c>
      <c r="V49" s="40">
        <v>0</v>
      </c>
      <c r="W49" s="41">
        <v>0</v>
      </c>
      <c r="X49" s="41">
        <v>0</v>
      </c>
      <c r="Y49" s="41">
        <v>0</v>
      </c>
      <c r="Z49" s="41">
        <v>0</v>
      </c>
      <c r="AA49" s="42">
        <v>320</v>
      </c>
      <c r="AB49" s="40">
        <f t="shared" si="1"/>
        <v>69.599999999999994</v>
      </c>
      <c r="AC49" s="43"/>
      <c r="AD49" s="41"/>
      <c r="AE49" s="41"/>
      <c r="AF49" s="41"/>
      <c r="AG49" s="41"/>
      <c r="AH49" s="41"/>
      <c r="AI49" s="41"/>
      <c r="AJ49" s="41"/>
      <c r="AK49" s="44">
        <f t="shared" si="0"/>
        <v>69.599999999999994</v>
      </c>
      <c r="AL49" s="45"/>
      <c r="AM49" s="45"/>
      <c r="AN49" s="44"/>
      <c r="AO49" s="46"/>
    </row>
    <row r="50" spans="1:41" ht="21" customHeight="1" x14ac:dyDescent="0.2">
      <c r="A50" s="34">
        <v>46</v>
      </c>
      <c r="B50" s="35" t="s">
        <v>234</v>
      </c>
      <c r="C50" s="36">
        <v>24573858</v>
      </c>
      <c r="D50" s="38" t="s">
        <v>67</v>
      </c>
      <c r="E50" s="37" t="s">
        <v>177</v>
      </c>
      <c r="F50" s="38" t="s">
        <v>17</v>
      </c>
      <c r="G50" s="38" t="s">
        <v>8</v>
      </c>
      <c r="H50" s="39">
        <v>34375</v>
      </c>
      <c r="I50" s="38" t="s">
        <v>11</v>
      </c>
      <c r="J50" s="40">
        <v>136</v>
      </c>
      <c r="K50" s="40">
        <v>28.3</v>
      </c>
      <c r="L50" s="40">
        <v>15.4</v>
      </c>
      <c r="M50" s="40">
        <v>40.5</v>
      </c>
      <c r="N50" s="40">
        <v>30.4</v>
      </c>
      <c r="O50" s="40">
        <v>8</v>
      </c>
      <c r="P50" s="40">
        <v>26.3</v>
      </c>
      <c r="Q50" s="40"/>
      <c r="R50" s="40">
        <v>12</v>
      </c>
      <c r="S50" s="40">
        <v>35</v>
      </c>
      <c r="T50" s="40">
        <v>12.9</v>
      </c>
      <c r="U50" s="40">
        <v>0</v>
      </c>
      <c r="V50" s="40">
        <v>29</v>
      </c>
      <c r="W50" s="41">
        <v>27.200000000000003</v>
      </c>
      <c r="X50" s="41">
        <v>38</v>
      </c>
      <c r="Y50" s="41">
        <v>24.3</v>
      </c>
      <c r="Z50" s="41">
        <v>34.9</v>
      </c>
      <c r="AA50" s="42">
        <v>540</v>
      </c>
      <c r="AB50" s="40">
        <f t="shared" si="1"/>
        <v>41.800000000000011</v>
      </c>
      <c r="AC50" s="43">
        <f>Libro_Ensayo!S3</f>
        <v>10.425000000000001</v>
      </c>
      <c r="AD50" s="41"/>
      <c r="AE50" s="41"/>
      <c r="AF50" s="41"/>
      <c r="AG50" s="41"/>
      <c r="AH50" s="41"/>
      <c r="AI50" s="41"/>
      <c r="AJ50" s="41"/>
      <c r="AK50" s="44">
        <f t="shared" si="0"/>
        <v>31.375000000000011</v>
      </c>
      <c r="AL50" s="94"/>
      <c r="AM50" s="65"/>
      <c r="AN50" s="78"/>
      <c r="AO50" s="46"/>
    </row>
    <row r="51" spans="1:41" ht="38.25" x14ac:dyDescent="0.2">
      <c r="A51" s="34">
        <v>47</v>
      </c>
      <c r="B51" s="35" t="s">
        <v>235</v>
      </c>
      <c r="C51" s="36">
        <v>29327038</v>
      </c>
      <c r="D51" s="38" t="s">
        <v>67</v>
      </c>
      <c r="E51" s="37" t="s">
        <v>177</v>
      </c>
      <c r="F51" s="38" t="s">
        <v>17</v>
      </c>
      <c r="G51" s="38" t="s">
        <v>8</v>
      </c>
      <c r="H51" s="39">
        <v>42955</v>
      </c>
      <c r="I51" s="38" t="s">
        <v>10</v>
      </c>
      <c r="J51" s="40"/>
      <c r="K51" s="40"/>
      <c r="L51" s="40"/>
      <c r="M51" s="40"/>
      <c r="N51" s="40"/>
      <c r="O51" s="40"/>
      <c r="P51" s="40"/>
      <c r="Q51" s="40"/>
      <c r="R51" s="40">
        <v>34.6</v>
      </c>
      <c r="S51" s="40">
        <v>13.5</v>
      </c>
      <c r="T51" s="40"/>
      <c r="U51" s="40">
        <v>14.3</v>
      </c>
      <c r="V51" s="40">
        <v>27.9</v>
      </c>
      <c r="W51" s="41">
        <v>0</v>
      </c>
      <c r="X51" s="41">
        <v>0</v>
      </c>
      <c r="Y51" s="41">
        <v>0</v>
      </c>
      <c r="Z51" s="41">
        <v>0</v>
      </c>
      <c r="AA51" s="42">
        <v>320</v>
      </c>
      <c r="AB51" s="40">
        <f t="shared" si="1"/>
        <v>229.7</v>
      </c>
      <c r="AC51" s="43"/>
      <c r="AD51" s="41"/>
      <c r="AE51" s="41"/>
      <c r="AF51" s="41"/>
      <c r="AG51" s="41"/>
      <c r="AH51" s="41"/>
      <c r="AI51" s="41"/>
      <c r="AJ51" s="41"/>
      <c r="AK51" s="44">
        <f t="shared" si="0"/>
        <v>229.7</v>
      </c>
      <c r="AL51" s="45"/>
      <c r="AM51" s="45"/>
      <c r="AN51" s="44"/>
      <c r="AO51" s="95" t="s">
        <v>1049</v>
      </c>
    </row>
    <row r="52" spans="1:41" ht="21" customHeight="1" x14ac:dyDescent="0.2">
      <c r="A52" s="34">
        <v>48</v>
      </c>
      <c r="B52" s="35" t="s">
        <v>236</v>
      </c>
      <c r="C52" s="36">
        <v>41935858</v>
      </c>
      <c r="D52" s="38" t="s">
        <v>67</v>
      </c>
      <c r="E52" s="37" t="s">
        <v>177</v>
      </c>
      <c r="F52" s="38" t="s">
        <v>17</v>
      </c>
      <c r="G52" s="38" t="s">
        <v>8</v>
      </c>
      <c r="H52" s="39">
        <v>40947</v>
      </c>
      <c r="I52" s="38" t="s">
        <v>10</v>
      </c>
      <c r="J52" s="40"/>
      <c r="K52" s="40"/>
      <c r="L52" s="40"/>
      <c r="M52" s="40">
        <v>21.4</v>
      </c>
      <c r="N52" s="40"/>
      <c r="O52" s="40"/>
      <c r="P52" s="40"/>
      <c r="Q52" s="40"/>
      <c r="R52" s="40"/>
      <c r="S52" s="40">
        <v>12.4</v>
      </c>
      <c r="T52" s="40"/>
      <c r="U52" s="40">
        <v>0</v>
      </c>
      <c r="V52" s="40">
        <v>14.4</v>
      </c>
      <c r="W52" s="41">
        <v>0</v>
      </c>
      <c r="X52" s="41">
        <v>0</v>
      </c>
      <c r="Y52" s="41">
        <v>0</v>
      </c>
      <c r="Z52" s="41">
        <v>13.7</v>
      </c>
      <c r="AA52" s="42">
        <v>320</v>
      </c>
      <c r="AB52" s="40">
        <f t="shared" si="1"/>
        <v>258.10000000000002</v>
      </c>
      <c r="AC52" s="43"/>
      <c r="AD52" s="41"/>
      <c r="AE52" s="41"/>
      <c r="AF52" s="41"/>
      <c r="AG52" s="41"/>
      <c r="AH52" s="41"/>
      <c r="AI52" s="41"/>
      <c r="AJ52" s="41"/>
      <c r="AK52" s="44">
        <f t="shared" si="0"/>
        <v>258.10000000000002</v>
      </c>
      <c r="AL52" s="45"/>
      <c r="AM52" s="45"/>
      <c r="AN52" s="44"/>
      <c r="AO52" s="46"/>
    </row>
    <row r="53" spans="1:41" ht="21" customHeight="1" x14ac:dyDescent="0.2">
      <c r="A53" s="34">
        <v>49</v>
      </c>
      <c r="B53" s="35" t="s">
        <v>237</v>
      </c>
      <c r="C53" s="36">
        <v>41913005</v>
      </c>
      <c r="D53" s="38" t="s">
        <v>67</v>
      </c>
      <c r="E53" s="37" t="s">
        <v>177</v>
      </c>
      <c r="F53" s="38" t="s">
        <v>17</v>
      </c>
      <c r="G53" s="38" t="s">
        <v>8</v>
      </c>
      <c r="H53" s="39">
        <v>42955</v>
      </c>
      <c r="I53" s="38" t="s">
        <v>10</v>
      </c>
      <c r="J53" s="40"/>
      <c r="K53" s="40"/>
      <c r="L53" s="40"/>
      <c r="M53" s="40"/>
      <c r="N53" s="40"/>
      <c r="O53" s="40"/>
      <c r="P53" s="40"/>
      <c r="Q53" s="40"/>
      <c r="R53" s="40">
        <v>14.3</v>
      </c>
      <c r="S53" s="40">
        <v>24</v>
      </c>
      <c r="T53" s="40">
        <v>12.9</v>
      </c>
      <c r="U53" s="40">
        <v>35</v>
      </c>
      <c r="V53" s="40">
        <v>11.8</v>
      </c>
      <c r="W53" s="41">
        <v>17.3</v>
      </c>
      <c r="X53" s="41">
        <v>22.700000000000003</v>
      </c>
      <c r="Y53" s="41">
        <v>38</v>
      </c>
      <c r="Z53" s="41">
        <v>34.200000000000003</v>
      </c>
      <c r="AA53" s="42">
        <v>320</v>
      </c>
      <c r="AB53" s="40">
        <f t="shared" si="1"/>
        <v>109.80000000000001</v>
      </c>
      <c r="AC53" s="43"/>
      <c r="AD53" s="41"/>
      <c r="AE53" s="41"/>
      <c r="AF53" s="41"/>
      <c r="AG53" s="41"/>
      <c r="AH53" s="41"/>
      <c r="AI53" s="41"/>
      <c r="AJ53" s="41"/>
      <c r="AK53" s="44">
        <f t="shared" si="0"/>
        <v>109.80000000000001</v>
      </c>
      <c r="AL53" s="50"/>
      <c r="AM53" s="65"/>
      <c r="AN53" s="44"/>
      <c r="AO53" s="46"/>
    </row>
    <row r="54" spans="1:41" ht="21" customHeight="1" x14ac:dyDescent="0.2">
      <c r="A54" s="34">
        <v>50</v>
      </c>
      <c r="B54" s="70" t="s">
        <v>238</v>
      </c>
      <c r="C54" s="71">
        <v>89000779</v>
      </c>
      <c r="D54" s="72" t="s">
        <v>67</v>
      </c>
      <c r="E54" s="73" t="s">
        <v>177</v>
      </c>
      <c r="F54" s="72" t="s">
        <v>201</v>
      </c>
      <c r="G54" s="72" t="s">
        <v>8</v>
      </c>
      <c r="H54" s="74">
        <v>38775</v>
      </c>
      <c r="I54" s="72" t="s">
        <v>11</v>
      </c>
      <c r="J54" s="75">
        <v>757.3</v>
      </c>
      <c r="K54" s="75"/>
      <c r="L54" s="75"/>
      <c r="M54" s="75"/>
      <c r="N54" s="75"/>
      <c r="O54" s="75"/>
      <c r="P54" s="75"/>
      <c r="Q54" s="75"/>
      <c r="R54" s="75"/>
      <c r="S54" s="75"/>
      <c r="T54" s="75"/>
      <c r="U54" s="75">
        <v>0</v>
      </c>
      <c r="V54" s="75">
        <v>0</v>
      </c>
      <c r="W54" s="41">
        <v>0</v>
      </c>
      <c r="X54" s="41">
        <v>0</v>
      </c>
      <c r="Y54" s="41">
        <v>0</v>
      </c>
      <c r="Z54" s="41">
        <v>0</v>
      </c>
      <c r="AA54" s="77">
        <v>540</v>
      </c>
      <c r="AB54" s="40">
        <f t="shared" si="1"/>
        <v>-217.29999999999995</v>
      </c>
      <c r="AC54" s="76"/>
      <c r="AD54" s="76"/>
      <c r="AE54" s="76"/>
      <c r="AF54" s="76"/>
      <c r="AG54" s="76"/>
      <c r="AH54" s="76"/>
      <c r="AI54" s="76"/>
      <c r="AJ54" s="76"/>
      <c r="AK54" s="44">
        <f t="shared" si="0"/>
        <v>-217.29999999999995</v>
      </c>
      <c r="AL54" s="45"/>
      <c r="AM54" s="65"/>
      <c r="AN54" s="78"/>
      <c r="AO54" s="73"/>
    </row>
    <row r="55" spans="1:41" ht="21" customHeight="1" x14ac:dyDescent="0.2">
      <c r="A55" s="34">
        <v>51</v>
      </c>
      <c r="B55" s="35" t="s">
        <v>239</v>
      </c>
      <c r="C55" s="36">
        <v>18385247</v>
      </c>
      <c r="D55" s="38" t="s">
        <v>67</v>
      </c>
      <c r="E55" s="37" t="s">
        <v>177</v>
      </c>
      <c r="F55" s="38" t="s">
        <v>17</v>
      </c>
      <c r="G55" s="38" t="s">
        <v>8</v>
      </c>
      <c r="H55" s="39">
        <v>38040</v>
      </c>
      <c r="I55" s="38" t="s">
        <v>11</v>
      </c>
      <c r="J55" s="40">
        <v>132.5</v>
      </c>
      <c r="K55" s="40"/>
      <c r="L55" s="40"/>
      <c r="M55" s="40">
        <v>11</v>
      </c>
      <c r="N55" s="40"/>
      <c r="O55" s="40">
        <v>35</v>
      </c>
      <c r="P55" s="40"/>
      <c r="Q55" s="40">
        <v>26.8</v>
      </c>
      <c r="R55" s="40"/>
      <c r="S55" s="40">
        <v>12.4</v>
      </c>
      <c r="T55" s="40"/>
      <c r="U55" s="40">
        <v>0</v>
      </c>
      <c r="V55" s="40">
        <v>0</v>
      </c>
      <c r="W55" s="41">
        <v>28.6</v>
      </c>
      <c r="X55" s="41">
        <v>0</v>
      </c>
      <c r="Y55" s="41">
        <v>0</v>
      </c>
      <c r="Z55" s="41">
        <v>0</v>
      </c>
      <c r="AA55" s="42">
        <v>540</v>
      </c>
      <c r="AB55" s="40">
        <f t="shared" si="1"/>
        <v>293.7</v>
      </c>
      <c r="AC55" s="43"/>
      <c r="AD55" s="41"/>
      <c r="AE55" s="41"/>
      <c r="AF55" s="41"/>
      <c r="AG55" s="41"/>
      <c r="AH55" s="41"/>
      <c r="AI55" s="41"/>
      <c r="AJ55" s="41"/>
      <c r="AK55" s="44">
        <f t="shared" si="0"/>
        <v>293.7</v>
      </c>
      <c r="AL55" s="45"/>
      <c r="AM55" s="45"/>
      <c r="AN55" s="44"/>
      <c r="AO55" s="46"/>
    </row>
    <row r="56" spans="1:41" ht="21" customHeight="1" x14ac:dyDescent="0.2">
      <c r="A56" s="34">
        <v>52</v>
      </c>
      <c r="B56" s="35" t="s">
        <v>240</v>
      </c>
      <c r="C56" s="36">
        <v>7537804</v>
      </c>
      <c r="D56" s="38" t="s">
        <v>67</v>
      </c>
      <c r="E56" s="37" t="s">
        <v>177</v>
      </c>
      <c r="F56" s="38" t="s">
        <v>21</v>
      </c>
      <c r="G56" s="38" t="s">
        <v>8</v>
      </c>
      <c r="H56" s="39">
        <v>39664</v>
      </c>
      <c r="I56" s="38" t="s">
        <v>11</v>
      </c>
      <c r="J56" s="40">
        <v>73.599999999999994</v>
      </c>
      <c r="K56" s="40"/>
      <c r="L56" s="40">
        <v>26.7</v>
      </c>
      <c r="M56" s="40">
        <v>25.7</v>
      </c>
      <c r="N56" s="40"/>
      <c r="O56" s="40"/>
      <c r="P56" s="40">
        <v>3</v>
      </c>
      <c r="Q56" s="40"/>
      <c r="R56" s="40">
        <v>15</v>
      </c>
      <c r="S56" s="40">
        <v>42.6</v>
      </c>
      <c r="T56" s="40">
        <v>35</v>
      </c>
      <c r="U56" s="40">
        <v>0</v>
      </c>
      <c r="V56" s="40">
        <v>26.3</v>
      </c>
      <c r="W56" s="41">
        <v>0</v>
      </c>
      <c r="X56" s="41">
        <v>0</v>
      </c>
      <c r="Y56" s="41">
        <v>15.3</v>
      </c>
      <c r="Z56" s="41">
        <v>30</v>
      </c>
      <c r="AA56" s="42">
        <v>540</v>
      </c>
      <c r="AB56" s="40">
        <f t="shared" si="1"/>
        <v>246.8</v>
      </c>
      <c r="AC56" s="43"/>
      <c r="AD56" s="41"/>
      <c r="AE56" s="41"/>
      <c r="AF56" s="41"/>
      <c r="AG56" s="41"/>
      <c r="AH56" s="41"/>
      <c r="AI56" s="41"/>
      <c r="AJ56" s="41"/>
      <c r="AK56" s="44">
        <f t="shared" si="0"/>
        <v>246.8</v>
      </c>
      <c r="AL56" s="45"/>
      <c r="AM56" s="81"/>
      <c r="AN56" s="44"/>
      <c r="AO56" s="46"/>
    </row>
    <row r="57" spans="1:41" ht="21" customHeight="1" x14ac:dyDescent="0.2">
      <c r="A57" s="34">
        <v>53</v>
      </c>
      <c r="B57" s="35" t="s">
        <v>241</v>
      </c>
      <c r="C57" s="36">
        <v>24478396</v>
      </c>
      <c r="D57" s="38" t="s">
        <v>67</v>
      </c>
      <c r="E57" s="37" t="s">
        <v>177</v>
      </c>
      <c r="F57" s="38" t="s">
        <v>242</v>
      </c>
      <c r="G57" s="38" t="s">
        <v>8</v>
      </c>
      <c r="H57" s="39">
        <v>35828</v>
      </c>
      <c r="I57" s="38" t="s">
        <v>11</v>
      </c>
      <c r="J57" s="40">
        <v>43.2</v>
      </c>
      <c r="K57" s="40"/>
      <c r="L57" s="40">
        <v>15.4</v>
      </c>
      <c r="M57" s="40">
        <v>20.399999999999999</v>
      </c>
      <c r="N57" s="40">
        <v>11.6</v>
      </c>
      <c r="O57" s="40"/>
      <c r="P57" s="40"/>
      <c r="Q57" s="40">
        <v>9.4</v>
      </c>
      <c r="R57" s="40"/>
      <c r="S57" s="40"/>
      <c r="T57" s="40"/>
      <c r="U57" s="40">
        <v>0</v>
      </c>
      <c r="V57" s="40">
        <v>3</v>
      </c>
      <c r="W57" s="41">
        <v>14.3</v>
      </c>
      <c r="X57" s="41">
        <v>0</v>
      </c>
      <c r="Y57" s="41">
        <v>0</v>
      </c>
      <c r="Z57" s="41">
        <v>0</v>
      </c>
      <c r="AA57" s="42">
        <v>540</v>
      </c>
      <c r="AB57" s="40">
        <f t="shared" si="1"/>
        <v>422.7</v>
      </c>
      <c r="AC57" s="43"/>
      <c r="AD57" s="41"/>
      <c r="AE57" s="41"/>
      <c r="AF57" s="41"/>
      <c r="AG57" s="41"/>
      <c r="AH57" s="41"/>
      <c r="AI57" s="41"/>
      <c r="AJ57" s="41"/>
      <c r="AK57" s="44">
        <f t="shared" si="0"/>
        <v>422.7</v>
      </c>
      <c r="AL57" s="45"/>
      <c r="AM57" s="45"/>
      <c r="AN57" s="44"/>
      <c r="AO57" s="46"/>
    </row>
    <row r="58" spans="1:41" ht="51" x14ac:dyDescent="0.2">
      <c r="A58" s="34">
        <v>54</v>
      </c>
      <c r="B58" s="54" t="s">
        <v>243</v>
      </c>
      <c r="C58" s="55">
        <v>328307</v>
      </c>
      <c r="D58" s="57" t="s">
        <v>67</v>
      </c>
      <c r="E58" s="56" t="s">
        <v>177</v>
      </c>
      <c r="F58" s="57" t="s">
        <v>17</v>
      </c>
      <c r="G58" s="57" t="s">
        <v>8</v>
      </c>
      <c r="H58" s="58">
        <v>35828</v>
      </c>
      <c r="I58" s="57" t="s">
        <v>22</v>
      </c>
      <c r="J58" s="59">
        <v>3</v>
      </c>
      <c r="K58" s="59"/>
      <c r="L58" s="59"/>
      <c r="M58" s="59"/>
      <c r="N58" s="59"/>
      <c r="O58" s="59"/>
      <c r="P58" s="59"/>
      <c r="Q58" s="59"/>
      <c r="R58" s="59"/>
      <c r="S58" s="59">
        <v>13.4</v>
      </c>
      <c r="T58" s="59"/>
      <c r="U58" s="59">
        <v>14</v>
      </c>
      <c r="V58" s="59">
        <v>0</v>
      </c>
      <c r="W58" s="60">
        <v>0</v>
      </c>
      <c r="X58" s="60">
        <v>0</v>
      </c>
      <c r="Y58" s="60">
        <v>0</v>
      </c>
      <c r="Z58" s="60">
        <v>0</v>
      </c>
      <c r="AA58" s="61">
        <v>160</v>
      </c>
      <c r="AB58" s="59">
        <f t="shared" si="1"/>
        <v>129.6</v>
      </c>
      <c r="AC58" s="62"/>
      <c r="AD58" s="60"/>
      <c r="AE58" s="60"/>
      <c r="AF58" s="60"/>
      <c r="AG58" s="60"/>
      <c r="AH58" s="60"/>
      <c r="AI58" s="60"/>
      <c r="AJ58" s="60"/>
      <c r="AK58" s="63">
        <f t="shared" si="0"/>
        <v>129.6</v>
      </c>
      <c r="AL58" s="64"/>
      <c r="AM58" s="64"/>
      <c r="AN58" s="67" t="s">
        <v>244</v>
      </c>
      <c r="AO58" s="68" t="s">
        <v>245</v>
      </c>
    </row>
    <row r="59" spans="1:41" ht="21" customHeight="1" x14ac:dyDescent="0.2">
      <c r="A59" s="34">
        <v>55</v>
      </c>
      <c r="B59" s="70" t="s">
        <v>246</v>
      </c>
      <c r="C59" s="71">
        <v>98380743</v>
      </c>
      <c r="D59" s="72" t="s">
        <v>67</v>
      </c>
      <c r="E59" s="73" t="s">
        <v>177</v>
      </c>
      <c r="F59" s="72" t="s">
        <v>201</v>
      </c>
      <c r="G59" s="72" t="s">
        <v>8</v>
      </c>
      <c r="H59" s="74">
        <v>38775</v>
      </c>
      <c r="I59" s="72" t="s">
        <v>11</v>
      </c>
      <c r="J59" s="75">
        <v>180.1</v>
      </c>
      <c r="K59" s="75"/>
      <c r="L59" s="75">
        <v>3</v>
      </c>
      <c r="M59" s="75">
        <v>20.399999999999999</v>
      </c>
      <c r="N59" s="75">
        <v>17.100000000000001</v>
      </c>
      <c r="O59" s="75">
        <v>12</v>
      </c>
      <c r="P59" s="75">
        <v>15</v>
      </c>
      <c r="Q59" s="75">
        <v>11</v>
      </c>
      <c r="R59" s="75">
        <v>54</v>
      </c>
      <c r="S59" s="75">
        <v>29.9</v>
      </c>
      <c r="T59" s="75">
        <v>76.599999999999994</v>
      </c>
      <c r="U59" s="75">
        <v>16</v>
      </c>
      <c r="V59" s="75">
        <v>39</v>
      </c>
      <c r="W59" s="76">
        <v>27.5</v>
      </c>
      <c r="X59" s="76">
        <v>19.899999999999999</v>
      </c>
      <c r="Y59" s="76">
        <v>14</v>
      </c>
      <c r="Z59" s="76">
        <v>4.5</v>
      </c>
      <c r="AA59" s="77">
        <v>540</v>
      </c>
      <c r="AB59" s="40">
        <f t="shared" si="1"/>
        <v>0</v>
      </c>
      <c r="AC59" s="76"/>
      <c r="AD59" s="76"/>
      <c r="AE59" s="76"/>
      <c r="AF59" s="76"/>
      <c r="AG59" s="76"/>
      <c r="AH59" s="76"/>
      <c r="AI59" s="76"/>
      <c r="AJ59" s="76"/>
      <c r="AK59" s="78">
        <f t="shared" si="0"/>
        <v>0</v>
      </c>
      <c r="AL59" s="96"/>
      <c r="AM59" s="65"/>
      <c r="AN59" s="78"/>
      <c r="AO59" s="79"/>
    </row>
    <row r="60" spans="1:41" ht="21" customHeight="1" x14ac:dyDescent="0.2">
      <c r="A60" s="34">
        <v>56</v>
      </c>
      <c r="B60" s="86" t="s">
        <v>247</v>
      </c>
      <c r="C60" s="87">
        <v>42086202</v>
      </c>
      <c r="D60" s="88" t="s">
        <v>67</v>
      </c>
      <c r="E60" s="89" t="s">
        <v>177</v>
      </c>
      <c r="F60" s="88" t="s">
        <v>17</v>
      </c>
      <c r="G60" s="88" t="s">
        <v>8</v>
      </c>
      <c r="H60" s="90">
        <v>42955</v>
      </c>
      <c r="I60" s="88" t="s">
        <v>10</v>
      </c>
      <c r="J60" s="91"/>
      <c r="K60" s="91"/>
      <c r="L60" s="91"/>
      <c r="M60" s="91"/>
      <c r="N60" s="91"/>
      <c r="O60" s="91"/>
      <c r="P60" s="91"/>
      <c r="Q60" s="91"/>
      <c r="R60" s="91">
        <v>157.1</v>
      </c>
      <c r="S60" s="91">
        <v>2.9</v>
      </c>
      <c r="T60" s="91"/>
      <c r="U60" s="91">
        <v>0</v>
      </c>
      <c r="V60" s="91">
        <v>29</v>
      </c>
      <c r="W60" s="41">
        <v>27.200000000000003</v>
      </c>
      <c r="X60" s="41">
        <v>38</v>
      </c>
      <c r="Y60" s="41">
        <v>24.3</v>
      </c>
      <c r="Z60" s="41">
        <v>0</v>
      </c>
      <c r="AA60" s="92">
        <v>320</v>
      </c>
      <c r="AB60" s="40">
        <f t="shared" si="1"/>
        <v>41.5</v>
      </c>
      <c r="AC60" s="43"/>
      <c r="AD60" s="93"/>
      <c r="AE60" s="93"/>
      <c r="AF60" s="93"/>
      <c r="AG60" s="93"/>
      <c r="AH60" s="93"/>
      <c r="AI60" s="93"/>
      <c r="AJ60" s="93"/>
      <c r="AK60" s="44">
        <f t="shared" si="0"/>
        <v>41.5</v>
      </c>
      <c r="AL60" s="94"/>
      <c r="AM60" s="65"/>
      <c r="AN60" s="78"/>
      <c r="AO60" s="73"/>
    </row>
    <row r="61" spans="1:41" ht="21" customHeight="1" x14ac:dyDescent="0.2">
      <c r="A61" s="34">
        <v>57</v>
      </c>
      <c r="B61" s="86" t="s">
        <v>248</v>
      </c>
      <c r="C61" s="87">
        <v>9728326</v>
      </c>
      <c r="D61" s="88" t="s">
        <v>67</v>
      </c>
      <c r="E61" s="89" t="s">
        <v>177</v>
      </c>
      <c r="F61" s="88" t="s">
        <v>17</v>
      </c>
      <c r="G61" s="88" t="s">
        <v>8</v>
      </c>
      <c r="H61" s="90">
        <v>44963</v>
      </c>
      <c r="I61" s="88" t="s">
        <v>22</v>
      </c>
      <c r="J61" s="91"/>
      <c r="K61" s="91"/>
      <c r="L61" s="91"/>
      <c r="M61" s="91"/>
      <c r="N61" s="91"/>
      <c r="O61" s="91"/>
      <c r="P61" s="91"/>
      <c r="Q61" s="91"/>
      <c r="R61" s="91"/>
      <c r="S61" s="91"/>
      <c r="T61" s="91"/>
      <c r="U61" s="91"/>
      <c r="V61" s="91"/>
      <c r="W61" s="41"/>
      <c r="X61" s="41">
        <v>12.9</v>
      </c>
      <c r="Y61" s="41">
        <v>0</v>
      </c>
      <c r="Z61" s="41">
        <v>31.2</v>
      </c>
      <c r="AA61" s="92">
        <v>160</v>
      </c>
      <c r="AB61" s="40">
        <f t="shared" si="1"/>
        <v>115.9</v>
      </c>
      <c r="AC61" s="43"/>
      <c r="AD61" s="93"/>
      <c r="AE61" s="93"/>
      <c r="AF61" s="93"/>
      <c r="AG61" s="93"/>
      <c r="AH61" s="93"/>
      <c r="AI61" s="93"/>
      <c r="AJ61" s="93"/>
      <c r="AK61" s="44">
        <f t="shared" si="0"/>
        <v>115.9</v>
      </c>
      <c r="AL61" s="94"/>
      <c r="AM61" s="65"/>
      <c r="AN61" s="78"/>
      <c r="AO61" s="73"/>
    </row>
    <row r="62" spans="1:41" ht="21" customHeight="1" x14ac:dyDescent="0.2">
      <c r="A62" s="34">
        <v>58</v>
      </c>
      <c r="B62" s="86" t="s">
        <v>249</v>
      </c>
      <c r="C62" s="87">
        <v>1094914627</v>
      </c>
      <c r="D62" s="88" t="s">
        <v>250</v>
      </c>
      <c r="E62" s="89" t="s">
        <v>177</v>
      </c>
      <c r="F62" s="88" t="s">
        <v>17</v>
      </c>
      <c r="G62" s="88" t="s">
        <v>8</v>
      </c>
      <c r="H62" s="90">
        <v>45328</v>
      </c>
      <c r="I62" s="88" t="s">
        <v>22</v>
      </c>
      <c r="J62" s="91"/>
      <c r="K62" s="91"/>
      <c r="L62" s="91"/>
      <c r="M62" s="91"/>
      <c r="N62" s="91"/>
      <c r="O62" s="91"/>
      <c r="P62" s="91"/>
      <c r="Q62" s="91"/>
      <c r="R62" s="91"/>
      <c r="S62" s="91"/>
      <c r="T62" s="91"/>
      <c r="U62" s="91"/>
      <c r="V62" s="91"/>
      <c r="W62" s="41"/>
      <c r="X62" s="41"/>
      <c r="Y62" s="41">
        <v>12</v>
      </c>
      <c r="Z62" s="41">
        <v>12</v>
      </c>
      <c r="AA62" s="92">
        <v>160</v>
      </c>
      <c r="AB62" s="40">
        <f t="shared" si="1"/>
        <v>136</v>
      </c>
      <c r="AC62" s="43"/>
      <c r="AD62" s="93"/>
      <c r="AE62" s="93"/>
      <c r="AF62" s="93"/>
      <c r="AG62" s="93"/>
      <c r="AH62" s="93"/>
      <c r="AI62" s="93"/>
      <c r="AJ62" s="93"/>
      <c r="AK62" s="44">
        <f t="shared" si="0"/>
        <v>136</v>
      </c>
      <c r="AL62" s="93"/>
      <c r="AM62" s="65"/>
      <c r="AN62" s="78"/>
      <c r="AO62" s="73"/>
    </row>
    <row r="63" spans="1:41" ht="21" customHeight="1" x14ac:dyDescent="0.2">
      <c r="A63" s="34">
        <v>59</v>
      </c>
      <c r="B63" s="35" t="s">
        <v>251</v>
      </c>
      <c r="C63" s="97">
        <v>89000647</v>
      </c>
      <c r="D63" s="38" t="s">
        <v>250</v>
      </c>
      <c r="E63" s="37" t="s">
        <v>177</v>
      </c>
      <c r="F63" s="38" t="s">
        <v>17</v>
      </c>
      <c r="G63" s="38" t="s">
        <v>8</v>
      </c>
      <c r="H63" s="39">
        <v>44963</v>
      </c>
      <c r="I63" s="38" t="s">
        <v>22</v>
      </c>
      <c r="J63" s="75"/>
      <c r="K63" s="75"/>
      <c r="L63" s="75"/>
      <c r="M63" s="75"/>
      <c r="N63" s="75"/>
      <c r="O63" s="75"/>
      <c r="P63" s="75"/>
      <c r="Q63" s="75"/>
      <c r="R63" s="75"/>
      <c r="S63" s="75"/>
      <c r="T63" s="75"/>
      <c r="U63" s="40"/>
      <c r="V63" s="40"/>
      <c r="W63" s="41"/>
      <c r="X63" s="41">
        <v>0</v>
      </c>
      <c r="Y63" s="41">
        <v>28.2</v>
      </c>
      <c r="Z63" s="41">
        <v>13.4</v>
      </c>
      <c r="AA63" s="42">
        <v>160</v>
      </c>
      <c r="AB63" s="40">
        <f t="shared" si="1"/>
        <v>118.4</v>
      </c>
      <c r="AC63" s="43">
        <f>Pub_Rev_Index!X9</f>
        <v>3</v>
      </c>
      <c r="AD63" s="41"/>
      <c r="AE63" s="93"/>
      <c r="AF63" s="93"/>
      <c r="AG63" s="41"/>
      <c r="AH63" s="41"/>
      <c r="AI63" s="41"/>
      <c r="AJ63" s="41"/>
      <c r="AK63" s="44">
        <f t="shared" si="0"/>
        <v>115.4</v>
      </c>
      <c r="AL63" s="50"/>
      <c r="AM63" s="50"/>
      <c r="AN63" s="78"/>
      <c r="AO63" s="73"/>
    </row>
    <row r="64" spans="1:41" ht="21" customHeight="1" x14ac:dyDescent="0.2">
      <c r="A64" s="34">
        <v>60</v>
      </c>
      <c r="B64" s="35" t="s">
        <v>252</v>
      </c>
      <c r="C64" s="36">
        <v>7523648</v>
      </c>
      <c r="D64" s="38" t="s">
        <v>250</v>
      </c>
      <c r="E64" s="37" t="s">
        <v>177</v>
      </c>
      <c r="F64" s="38" t="s">
        <v>17</v>
      </c>
      <c r="G64" s="38" t="s">
        <v>8</v>
      </c>
      <c r="H64" s="39">
        <v>40392</v>
      </c>
      <c r="I64" s="38" t="s">
        <v>10</v>
      </c>
      <c r="J64" s="40"/>
      <c r="K64" s="40">
        <v>46.9</v>
      </c>
      <c r="L64" s="40">
        <v>8.9</v>
      </c>
      <c r="M64" s="40">
        <v>11</v>
      </c>
      <c r="N64" s="40"/>
      <c r="O64" s="40">
        <v>35</v>
      </c>
      <c r="P64" s="40"/>
      <c r="Q64" s="40"/>
      <c r="R64" s="40"/>
      <c r="S64" s="40">
        <v>4</v>
      </c>
      <c r="T64" s="40">
        <v>7.2</v>
      </c>
      <c r="U64" s="40">
        <v>0</v>
      </c>
      <c r="V64" s="40">
        <v>0</v>
      </c>
      <c r="W64" s="41">
        <v>3</v>
      </c>
      <c r="X64" s="41">
        <v>0</v>
      </c>
      <c r="Y64" s="41">
        <v>13.5</v>
      </c>
      <c r="Z64" s="41">
        <v>0</v>
      </c>
      <c r="AA64" s="42">
        <v>320</v>
      </c>
      <c r="AB64" s="40">
        <f t="shared" si="1"/>
        <v>190.5</v>
      </c>
      <c r="AC64" s="43"/>
      <c r="AD64" s="41"/>
      <c r="AE64" s="43"/>
      <c r="AF64" s="43"/>
      <c r="AG64" s="41"/>
      <c r="AH64" s="41"/>
      <c r="AI64" s="41"/>
      <c r="AJ64" s="41"/>
      <c r="AK64" s="44">
        <f t="shared" si="0"/>
        <v>190.5</v>
      </c>
      <c r="AL64" s="45"/>
      <c r="AM64" s="45"/>
      <c r="AN64" s="44"/>
      <c r="AO64" s="46"/>
    </row>
    <row r="65" spans="1:41" ht="38.25" x14ac:dyDescent="0.2">
      <c r="A65" s="34">
        <v>61</v>
      </c>
      <c r="B65" s="54" t="s">
        <v>253</v>
      </c>
      <c r="C65" s="98">
        <v>36310363</v>
      </c>
      <c r="D65" s="57" t="s">
        <v>250</v>
      </c>
      <c r="E65" s="56" t="s">
        <v>177</v>
      </c>
      <c r="F65" s="57" t="s">
        <v>17</v>
      </c>
      <c r="G65" s="57" t="s">
        <v>8</v>
      </c>
      <c r="H65" s="58">
        <v>42955</v>
      </c>
      <c r="I65" s="57" t="s">
        <v>10</v>
      </c>
      <c r="J65" s="59"/>
      <c r="K65" s="59"/>
      <c r="L65" s="59"/>
      <c r="M65" s="59"/>
      <c r="N65" s="59"/>
      <c r="O65" s="59"/>
      <c r="P65" s="59"/>
      <c r="Q65" s="59"/>
      <c r="R65" s="59">
        <v>11</v>
      </c>
      <c r="S65" s="59">
        <v>8</v>
      </c>
      <c r="T65" s="59">
        <v>41.6</v>
      </c>
      <c r="U65" s="59">
        <v>8</v>
      </c>
      <c r="V65" s="59">
        <v>11.6</v>
      </c>
      <c r="W65" s="60">
        <v>0</v>
      </c>
      <c r="X65" s="60">
        <v>0</v>
      </c>
      <c r="Y65" s="60">
        <v>0</v>
      </c>
      <c r="Z65" s="60">
        <v>46</v>
      </c>
      <c r="AA65" s="61">
        <v>320</v>
      </c>
      <c r="AB65" s="59">
        <f t="shared" si="1"/>
        <v>193.8</v>
      </c>
      <c r="AC65" s="62"/>
      <c r="AD65" s="60"/>
      <c r="AE65" s="60"/>
      <c r="AF65" s="60"/>
      <c r="AG65" s="60"/>
      <c r="AH65" s="60"/>
      <c r="AI65" s="60"/>
      <c r="AJ65" s="60"/>
      <c r="AK65" s="63">
        <f t="shared" si="0"/>
        <v>193.8</v>
      </c>
      <c r="AL65" s="64"/>
      <c r="AM65" s="64"/>
      <c r="AN65" s="67" t="s">
        <v>254</v>
      </c>
      <c r="AO65" s="68" t="s">
        <v>255</v>
      </c>
    </row>
    <row r="66" spans="1:41" ht="21" customHeight="1" x14ac:dyDescent="0.2">
      <c r="A66" s="34">
        <v>62</v>
      </c>
      <c r="B66" s="35" t="s">
        <v>256</v>
      </c>
      <c r="C66" s="99">
        <v>15435040</v>
      </c>
      <c r="D66" s="38" t="s">
        <v>250</v>
      </c>
      <c r="E66" s="37" t="s">
        <v>177</v>
      </c>
      <c r="F66" s="38" t="s">
        <v>21</v>
      </c>
      <c r="G66" s="38" t="s">
        <v>8</v>
      </c>
      <c r="H66" s="39">
        <v>41872</v>
      </c>
      <c r="I66" s="38" t="s">
        <v>10</v>
      </c>
      <c r="J66" s="40"/>
      <c r="K66" s="40"/>
      <c r="L66" s="40"/>
      <c r="M66" s="40"/>
      <c r="N66" s="40"/>
      <c r="O66" s="40">
        <v>11.6</v>
      </c>
      <c r="P66" s="40"/>
      <c r="Q66" s="40"/>
      <c r="R66" s="40"/>
      <c r="S66" s="40"/>
      <c r="T66" s="40"/>
      <c r="U66" s="40">
        <v>0</v>
      </c>
      <c r="V66" s="40">
        <v>0</v>
      </c>
      <c r="W66" s="41">
        <v>0</v>
      </c>
      <c r="X66" s="41">
        <v>0</v>
      </c>
      <c r="Y66" s="41">
        <v>0</v>
      </c>
      <c r="Z66" s="41">
        <v>7.5</v>
      </c>
      <c r="AA66" s="42">
        <v>320</v>
      </c>
      <c r="AB66" s="40">
        <f t="shared" si="1"/>
        <v>300.89999999999998</v>
      </c>
      <c r="AC66" s="43"/>
      <c r="AD66" s="41"/>
      <c r="AE66" s="41"/>
      <c r="AF66" s="41"/>
      <c r="AG66" s="41"/>
      <c r="AH66" s="41"/>
      <c r="AI66" s="41"/>
      <c r="AJ66" s="41"/>
      <c r="AK66" s="44">
        <f t="shared" si="0"/>
        <v>300.89999999999998</v>
      </c>
      <c r="AL66" s="45"/>
      <c r="AM66" s="45"/>
      <c r="AN66" s="44"/>
      <c r="AO66" s="46"/>
    </row>
    <row r="67" spans="1:41" ht="21" customHeight="1" x14ac:dyDescent="0.2">
      <c r="A67" s="34">
        <v>63</v>
      </c>
      <c r="B67" s="35" t="s">
        <v>257</v>
      </c>
      <c r="C67" s="99">
        <v>52353956</v>
      </c>
      <c r="D67" s="38" t="s">
        <v>250</v>
      </c>
      <c r="E67" s="37" t="s">
        <v>177</v>
      </c>
      <c r="F67" s="38" t="s">
        <v>17</v>
      </c>
      <c r="G67" s="38" t="s">
        <v>8</v>
      </c>
      <c r="H67" s="39">
        <v>41872</v>
      </c>
      <c r="I67" s="38" t="s">
        <v>22</v>
      </c>
      <c r="J67" s="40"/>
      <c r="K67" s="40"/>
      <c r="L67" s="40"/>
      <c r="M67" s="40"/>
      <c r="N67" s="40"/>
      <c r="O67" s="40">
        <v>15</v>
      </c>
      <c r="P67" s="40"/>
      <c r="Q67" s="40">
        <v>10.4</v>
      </c>
      <c r="R67" s="40">
        <v>8</v>
      </c>
      <c r="S67" s="40">
        <v>12</v>
      </c>
      <c r="T67" s="40">
        <v>15.2</v>
      </c>
      <c r="U67" s="40">
        <v>0</v>
      </c>
      <c r="V67" s="40">
        <v>0</v>
      </c>
      <c r="W67" s="41">
        <v>0</v>
      </c>
      <c r="X67" s="41">
        <v>0</v>
      </c>
      <c r="Y67" s="41">
        <v>0</v>
      </c>
      <c r="Z67" s="41">
        <v>0</v>
      </c>
      <c r="AA67" s="42">
        <v>160</v>
      </c>
      <c r="AB67" s="40">
        <f t="shared" si="1"/>
        <v>99.4</v>
      </c>
      <c r="AC67" s="43"/>
      <c r="AD67" s="41"/>
      <c r="AE67" s="41"/>
      <c r="AF67" s="41"/>
      <c r="AG67" s="41"/>
      <c r="AH67" s="41"/>
      <c r="AI67" s="41"/>
      <c r="AJ67" s="41"/>
      <c r="AK67" s="44">
        <f t="shared" si="0"/>
        <v>99.4</v>
      </c>
      <c r="AL67" s="45"/>
      <c r="AM67" s="45"/>
      <c r="AN67" s="44"/>
      <c r="AO67" s="46"/>
    </row>
    <row r="68" spans="1:41" ht="21" customHeight="1" x14ac:dyDescent="0.2">
      <c r="A68" s="34">
        <v>64</v>
      </c>
      <c r="B68" s="35" t="s">
        <v>258</v>
      </c>
      <c r="C68" s="36">
        <v>30399579</v>
      </c>
      <c r="D68" s="38" t="s">
        <v>61</v>
      </c>
      <c r="E68" s="37" t="s">
        <v>54</v>
      </c>
      <c r="F68" s="38" t="s">
        <v>17</v>
      </c>
      <c r="G68" s="38" t="s">
        <v>8</v>
      </c>
      <c r="H68" s="39">
        <v>42955</v>
      </c>
      <c r="I68" s="38" t="s">
        <v>62</v>
      </c>
      <c r="J68" s="40"/>
      <c r="K68" s="40"/>
      <c r="L68" s="40"/>
      <c r="M68" s="40"/>
      <c r="N68" s="40"/>
      <c r="O68" s="40"/>
      <c r="P68" s="40"/>
      <c r="Q68" s="40"/>
      <c r="R68" s="40"/>
      <c r="S68" s="40">
        <v>1.5</v>
      </c>
      <c r="T68" s="40"/>
      <c r="U68" s="40">
        <v>0</v>
      </c>
      <c r="V68" s="40">
        <v>0</v>
      </c>
      <c r="W68" s="41">
        <v>0</v>
      </c>
      <c r="X68" s="41">
        <v>0</v>
      </c>
      <c r="Y68" s="41">
        <v>0</v>
      </c>
      <c r="Z68" s="41">
        <v>0</v>
      </c>
      <c r="AA68" s="42">
        <v>80</v>
      </c>
      <c r="AB68" s="40">
        <f t="shared" si="1"/>
        <v>78.5</v>
      </c>
      <c r="AC68" s="43"/>
      <c r="AD68" s="41"/>
      <c r="AE68" s="41"/>
      <c r="AF68" s="41"/>
      <c r="AG68" s="41"/>
      <c r="AH68" s="41"/>
      <c r="AI68" s="41"/>
      <c r="AJ68" s="41"/>
      <c r="AK68" s="44">
        <f t="shared" si="0"/>
        <v>78.5</v>
      </c>
      <c r="AL68" s="45"/>
      <c r="AM68" s="45"/>
      <c r="AN68" s="44"/>
      <c r="AO68" s="46"/>
    </row>
    <row r="69" spans="1:41" ht="21" customHeight="1" x14ac:dyDescent="0.2">
      <c r="A69" s="34">
        <v>65</v>
      </c>
      <c r="B69" s="35" t="s">
        <v>259</v>
      </c>
      <c r="C69" s="36">
        <v>38794076</v>
      </c>
      <c r="D69" s="38" t="s">
        <v>61</v>
      </c>
      <c r="E69" s="37" t="s">
        <v>54</v>
      </c>
      <c r="F69" s="38" t="s">
        <v>21</v>
      </c>
      <c r="G69" s="38" t="s">
        <v>8</v>
      </c>
      <c r="H69" s="39">
        <v>44966</v>
      </c>
      <c r="I69" s="38" t="s">
        <v>62</v>
      </c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1"/>
      <c r="X69" s="41">
        <v>8</v>
      </c>
      <c r="Y69" s="41">
        <v>10.3</v>
      </c>
      <c r="Z69" s="41">
        <v>0</v>
      </c>
      <c r="AA69" s="42">
        <v>80</v>
      </c>
      <c r="AB69" s="40">
        <f t="shared" si="1"/>
        <v>61.7</v>
      </c>
      <c r="AC69" s="43"/>
      <c r="AD69" s="41"/>
      <c r="AE69" s="41"/>
      <c r="AF69" s="41"/>
      <c r="AG69" s="41"/>
      <c r="AH69" s="41"/>
      <c r="AI69" s="41"/>
      <c r="AJ69" s="41"/>
      <c r="AK69" s="44">
        <f t="shared" ref="AK69:AK132" si="2">AB69-AC69-AD69-AE69-AF69-AG69-AH69-AI69-AJ69</f>
        <v>61.7</v>
      </c>
      <c r="AL69" s="45"/>
      <c r="AM69" s="45"/>
      <c r="AN69" s="44"/>
      <c r="AO69" s="46"/>
    </row>
    <row r="70" spans="1:41" ht="21" customHeight="1" x14ac:dyDescent="0.2">
      <c r="A70" s="34">
        <v>66</v>
      </c>
      <c r="B70" s="35" t="s">
        <v>260</v>
      </c>
      <c r="C70" s="36">
        <v>30320098</v>
      </c>
      <c r="D70" s="38" t="s">
        <v>61</v>
      </c>
      <c r="E70" s="37" t="s">
        <v>54</v>
      </c>
      <c r="F70" s="38" t="s">
        <v>21</v>
      </c>
      <c r="G70" s="38" t="s">
        <v>8</v>
      </c>
      <c r="H70" s="39">
        <v>43864</v>
      </c>
      <c r="I70" s="38" t="s">
        <v>10</v>
      </c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>
        <v>15</v>
      </c>
      <c r="V70" s="40">
        <v>3</v>
      </c>
      <c r="W70" s="41">
        <v>0</v>
      </c>
      <c r="X70" s="41">
        <v>15.7</v>
      </c>
      <c r="Y70" s="41">
        <v>12</v>
      </c>
      <c r="Z70" s="41">
        <v>6</v>
      </c>
      <c r="AA70" s="42">
        <v>320</v>
      </c>
      <c r="AB70" s="40">
        <f t="shared" ref="AB70:AB133" si="3">AA70-(J70+K70+L70+M70+N70+O70+P70+Q70+R70+S70+T70+U70+V70+W70+X70+Y70+Z70)</f>
        <v>268.3</v>
      </c>
      <c r="AC70" s="43">
        <f>+Pub_Rev_Index!X22</f>
        <v>8</v>
      </c>
      <c r="AD70" s="41"/>
      <c r="AE70" s="41"/>
      <c r="AF70" s="41"/>
      <c r="AG70" s="41"/>
      <c r="AH70" s="41"/>
      <c r="AI70" s="41"/>
      <c r="AJ70" s="41"/>
      <c r="AK70" s="44">
        <f t="shared" si="2"/>
        <v>260.3</v>
      </c>
      <c r="AL70" s="45"/>
      <c r="AM70" s="45"/>
      <c r="AN70" s="44"/>
      <c r="AO70" s="46"/>
    </row>
    <row r="71" spans="1:41" ht="21" customHeight="1" x14ac:dyDescent="0.2">
      <c r="A71" s="34">
        <v>67</v>
      </c>
      <c r="B71" s="35" t="s">
        <v>261</v>
      </c>
      <c r="C71" s="36">
        <v>51802215</v>
      </c>
      <c r="D71" s="38" t="s">
        <v>61</v>
      </c>
      <c r="E71" s="37" t="s">
        <v>54</v>
      </c>
      <c r="F71" s="38" t="s">
        <v>21</v>
      </c>
      <c r="G71" s="38" t="s">
        <v>8</v>
      </c>
      <c r="H71" s="39">
        <v>40947</v>
      </c>
      <c r="I71" s="38" t="s">
        <v>11</v>
      </c>
      <c r="J71" s="40"/>
      <c r="K71" s="40"/>
      <c r="L71" s="40"/>
      <c r="M71" s="40">
        <v>12.2</v>
      </c>
      <c r="N71" s="40"/>
      <c r="O71" s="40"/>
      <c r="P71" s="40">
        <v>18.899999999999999</v>
      </c>
      <c r="Q71" s="40">
        <v>35.6</v>
      </c>
      <c r="R71" s="40"/>
      <c r="S71" s="40">
        <v>16</v>
      </c>
      <c r="T71" s="40">
        <v>15</v>
      </c>
      <c r="U71" s="40">
        <v>15</v>
      </c>
      <c r="V71" s="40">
        <v>0</v>
      </c>
      <c r="W71" s="41">
        <v>0</v>
      </c>
      <c r="X71" s="41">
        <v>0</v>
      </c>
      <c r="Y71" s="41">
        <v>4</v>
      </c>
      <c r="Z71" s="41">
        <v>6</v>
      </c>
      <c r="AA71" s="42">
        <v>540</v>
      </c>
      <c r="AB71" s="40">
        <f t="shared" si="3"/>
        <v>417.3</v>
      </c>
      <c r="AC71" s="43"/>
      <c r="AD71" s="41"/>
      <c r="AE71" s="41"/>
      <c r="AF71" s="41"/>
      <c r="AG71" s="41"/>
      <c r="AH71" s="41"/>
      <c r="AI71" s="41"/>
      <c r="AJ71" s="41"/>
      <c r="AK71" s="44">
        <f t="shared" si="2"/>
        <v>417.3</v>
      </c>
      <c r="AL71" s="45"/>
      <c r="AM71" s="45"/>
      <c r="AN71" s="44"/>
      <c r="AO71" s="46"/>
    </row>
    <row r="72" spans="1:41" ht="21" customHeight="1" x14ac:dyDescent="0.2">
      <c r="A72" s="34">
        <v>68</v>
      </c>
      <c r="B72" s="35" t="s">
        <v>262</v>
      </c>
      <c r="C72" s="36">
        <v>24571354</v>
      </c>
      <c r="D72" s="38" t="s">
        <v>61</v>
      </c>
      <c r="E72" s="37" t="s">
        <v>54</v>
      </c>
      <c r="F72" s="38" t="s">
        <v>17</v>
      </c>
      <c r="G72" s="38" t="s">
        <v>8</v>
      </c>
      <c r="H72" s="39">
        <v>40947</v>
      </c>
      <c r="I72" s="38" t="s">
        <v>10</v>
      </c>
      <c r="J72" s="40"/>
      <c r="K72" s="40"/>
      <c r="L72" s="40"/>
      <c r="M72" s="40"/>
      <c r="N72" s="40"/>
      <c r="O72" s="40"/>
      <c r="P72" s="40">
        <v>1.5</v>
      </c>
      <c r="Q72" s="40">
        <v>5.6</v>
      </c>
      <c r="R72" s="40">
        <v>10.199999999999999</v>
      </c>
      <c r="S72" s="40"/>
      <c r="T72" s="40">
        <v>12</v>
      </c>
      <c r="U72" s="40">
        <v>0</v>
      </c>
      <c r="V72" s="40">
        <v>0</v>
      </c>
      <c r="W72" s="41">
        <v>0</v>
      </c>
      <c r="X72" s="41">
        <v>0</v>
      </c>
      <c r="Y72" s="41">
        <v>4</v>
      </c>
      <c r="Z72" s="41">
        <v>9</v>
      </c>
      <c r="AA72" s="42">
        <v>320</v>
      </c>
      <c r="AB72" s="40">
        <f t="shared" si="3"/>
        <v>277.7</v>
      </c>
      <c r="AC72" s="43"/>
      <c r="AD72" s="41"/>
      <c r="AE72" s="41"/>
      <c r="AF72" s="41"/>
      <c r="AG72" s="41"/>
      <c r="AH72" s="41"/>
      <c r="AI72" s="41"/>
      <c r="AJ72" s="41"/>
      <c r="AK72" s="44">
        <f t="shared" si="2"/>
        <v>277.7</v>
      </c>
      <c r="AL72" s="45"/>
      <c r="AM72" s="45"/>
      <c r="AN72" s="44"/>
      <c r="AO72" s="46"/>
    </row>
    <row r="73" spans="1:41" ht="21" customHeight="1" x14ac:dyDescent="0.2">
      <c r="A73" s="34">
        <v>69</v>
      </c>
      <c r="B73" s="35" t="s">
        <v>263</v>
      </c>
      <c r="C73" s="36">
        <v>24341881</v>
      </c>
      <c r="D73" s="38" t="s">
        <v>61</v>
      </c>
      <c r="E73" s="37" t="s">
        <v>54</v>
      </c>
      <c r="F73" s="38" t="s">
        <v>17</v>
      </c>
      <c r="G73" s="38" t="s">
        <v>8</v>
      </c>
      <c r="H73" s="39">
        <v>40963</v>
      </c>
      <c r="I73" s="38" t="s">
        <v>62</v>
      </c>
      <c r="J73" s="40"/>
      <c r="K73" s="40"/>
      <c r="L73" s="40"/>
      <c r="M73" s="40">
        <v>0.9</v>
      </c>
      <c r="N73" s="40"/>
      <c r="O73" s="40"/>
      <c r="P73" s="40"/>
      <c r="Q73" s="40">
        <v>3</v>
      </c>
      <c r="R73" s="40"/>
      <c r="S73" s="40"/>
      <c r="T73" s="40"/>
      <c r="U73" s="40">
        <v>0</v>
      </c>
      <c r="V73" s="40">
        <v>3</v>
      </c>
      <c r="W73" s="41">
        <v>1.6</v>
      </c>
      <c r="X73" s="41">
        <v>0</v>
      </c>
      <c r="Y73" s="41">
        <v>0</v>
      </c>
      <c r="Z73" s="41">
        <v>0</v>
      </c>
      <c r="AA73" s="42">
        <v>80</v>
      </c>
      <c r="AB73" s="40">
        <f t="shared" si="3"/>
        <v>71.5</v>
      </c>
      <c r="AC73" s="43"/>
      <c r="AD73" s="41"/>
      <c r="AE73" s="41"/>
      <c r="AF73" s="41"/>
      <c r="AG73" s="41"/>
      <c r="AH73" s="41"/>
      <c r="AI73" s="41"/>
      <c r="AJ73" s="41"/>
      <c r="AK73" s="44">
        <f t="shared" si="2"/>
        <v>71.5</v>
      </c>
      <c r="AL73" s="45"/>
      <c r="AM73" s="45"/>
      <c r="AN73" s="44"/>
      <c r="AO73" s="46"/>
    </row>
    <row r="74" spans="1:41" ht="21" customHeight="1" x14ac:dyDescent="0.2">
      <c r="A74" s="34">
        <v>70</v>
      </c>
      <c r="B74" s="35" t="s">
        <v>264</v>
      </c>
      <c r="C74" s="36">
        <v>1094897168</v>
      </c>
      <c r="D74" s="38" t="s">
        <v>61</v>
      </c>
      <c r="E74" s="37" t="s">
        <v>54</v>
      </c>
      <c r="F74" s="38" t="s">
        <v>21</v>
      </c>
      <c r="G74" s="38" t="s">
        <v>8</v>
      </c>
      <c r="H74" s="39">
        <v>42955</v>
      </c>
      <c r="I74" s="38" t="s">
        <v>22</v>
      </c>
      <c r="J74" s="40"/>
      <c r="K74" s="40"/>
      <c r="L74" s="40"/>
      <c r="M74" s="40"/>
      <c r="N74" s="40"/>
      <c r="O74" s="40"/>
      <c r="P74" s="40"/>
      <c r="Q74" s="40"/>
      <c r="R74" s="40">
        <v>9</v>
      </c>
      <c r="S74" s="40"/>
      <c r="T74" s="40"/>
      <c r="U74" s="40">
        <v>0</v>
      </c>
      <c r="V74" s="40">
        <v>2.6</v>
      </c>
      <c r="W74" s="41">
        <v>12.3</v>
      </c>
      <c r="X74" s="41">
        <v>39</v>
      </c>
      <c r="Y74" s="41">
        <v>1.3</v>
      </c>
      <c r="Z74" s="41">
        <v>3.8</v>
      </c>
      <c r="AA74" s="42">
        <v>160</v>
      </c>
      <c r="AB74" s="40">
        <f t="shared" si="3"/>
        <v>92</v>
      </c>
      <c r="AC74" s="43"/>
      <c r="AD74" s="41"/>
      <c r="AE74" s="41"/>
      <c r="AF74" s="41"/>
      <c r="AG74" s="41"/>
      <c r="AH74" s="41"/>
      <c r="AI74" s="41"/>
      <c r="AJ74" s="41"/>
      <c r="AK74" s="44">
        <f t="shared" si="2"/>
        <v>92</v>
      </c>
      <c r="AL74" s="45"/>
      <c r="AM74" s="45"/>
      <c r="AN74" s="44"/>
      <c r="AO74" s="46"/>
    </row>
    <row r="75" spans="1:41" ht="21" customHeight="1" x14ac:dyDescent="0.2">
      <c r="A75" s="34">
        <v>71</v>
      </c>
      <c r="B75" s="35" t="s">
        <v>265</v>
      </c>
      <c r="C75" s="97">
        <v>46373917</v>
      </c>
      <c r="D75" s="38" t="s">
        <v>61</v>
      </c>
      <c r="E75" s="37" t="s">
        <v>54</v>
      </c>
      <c r="F75" s="38" t="s">
        <v>17</v>
      </c>
      <c r="G75" s="38" t="s">
        <v>8</v>
      </c>
      <c r="H75" s="39">
        <v>43864</v>
      </c>
      <c r="I75" s="38" t="s">
        <v>22</v>
      </c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>
        <v>9</v>
      </c>
      <c r="V75" s="40">
        <v>0</v>
      </c>
      <c r="W75" s="41">
        <v>0</v>
      </c>
      <c r="X75" s="41">
        <v>0</v>
      </c>
      <c r="Y75" s="41">
        <v>1.3</v>
      </c>
      <c r="Z75" s="41">
        <v>10</v>
      </c>
      <c r="AA75" s="42">
        <v>160</v>
      </c>
      <c r="AB75" s="40">
        <f t="shared" si="3"/>
        <v>139.69999999999999</v>
      </c>
      <c r="AC75" s="43"/>
      <c r="AD75" s="41"/>
      <c r="AE75" s="41"/>
      <c r="AF75" s="41"/>
      <c r="AG75" s="41"/>
      <c r="AH75" s="41"/>
      <c r="AI75" s="41"/>
      <c r="AJ75" s="41"/>
      <c r="AK75" s="44">
        <f t="shared" si="2"/>
        <v>139.69999999999999</v>
      </c>
      <c r="AL75" s="45"/>
      <c r="AM75" s="45"/>
      <c r="AN75" s="44"/>
      <c r="AO75" s="46"/>
    </row>
    <row r="76" spans="1:41" ht="21" customHeight="1" x14ac:dyDescent="0.2">
      <c r="A76" s="34">
        <v>72</v>
      </c>
      <c r="B76" s="35" t="s">
        <v>266</v>
      </c>
      <c r="C76" s="36">
        <v>18467629</v>
      </c>
      <c r="D76" s="38" t="s">
        <v>267</v>
      </c>
      <c r="E76" s="37" t="s">
        <v>194</v>
      </c>
      <c r="F76" s="37" t="s">
        <v>21</v>
      </c>
      <c r="G76" s="38" t="s">
        <v>8</v>
      </c>
      <c r="H76" s="90">
        <v>44963</v>
      </c>
      <c r="I76" s="38" t="s">
        <v>62</v>
      </c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1"/>
      <c r="X76" s="41">
        <v>7</v>
      </c>
      <c r="Y76" s="41">
        <v>0</v>
      </c>
      <c r="Z76" s="41">
        <v>0</v>
      </c>
      <c r="AA76" s="42">
        <v>80</v>
      </c>
      <c r="AB76" s="40">
        <f t="shared" si="3"/>
        <v>73</v>
      </c>
      <c r="AC76" s="43"/>
      <c r="AD76" s="41"/>
      <c r="AE76" s="41"/>
      <c r="AF76" s="41"/>
      <c r="AG76" s="41"/>
      <c r="AH76" s="41"/>
      <c r="AI76" s="41"/>
      <c r="AJ76" s="41"/>
      <c r="AK76" s="44">
        <f t="shared" si="2"/>
        <v>73</v>
      </c>
      <c r="AL76" s="45"/>
      <c r="AM76" s="45"/>
      <c r="AN76" s="44"/>
      <c r="AO76" s="46"/>
    </row>
    <row r="77" spans="1:41" ht="21" customHeight="1" x14ac:dyDescent="0.2">
      <c r="A77" s="34">
        <v>73</v>
      </c>
      <c r="B77" s="35" t="s">
        <v>268</v>
      </c>
      <c r="C77" s="36">
        <v>7549216</v>
      </c>
      <c r="D77" s="38" t="s">
        <v>267</v>
      </c>
      <c r="E77" s="37" t="s">
        <v>194</v>
      </c>
      <c r="F77" s="38" t="s">
        <v>201</v>
      </c>
      <c r="G77" s="38" t="s">
        <v>8</v>
      </c>
      <c r="H77" s="39">
        <v>42955</v>
      </c>
      <c r="I77" s="38" t="s">
        <v>10</v>
      </c>
      <c r="J77" s="40"/>
      <c r="K77" s="40"/>
      <c r="L77" s="40"/>
      <c r="M77" s="40"/>
      <c r="N77" s="40"/>
      <c r="O77" s="40"/>
      <c r="P77" s="40"/>
      <c r="Q77" s="40"/>
      <c r="R77" s="40">
        <v>3</v>
      </c>
      <c r="S77" s="40">
        <v>22.4</v>
      </c>
      <c r="T77" s="40">
        <v>6.8</v>
      </c>
      <c r="U77" s="40">
        <v>0</v>
      </c>
      <c r="V77" s="40">
        <v>0</v>
      </c>
      <c r="W77" s="41">
        <v>0</v>
      </c>
      <c r="X77" s="41">
        <v>0</v>
      </c>
      <c r="Y77" s="41">
        <v>0</v>
      </c>
      <c r="Z77" s="41">
        <v>0</v>
      </c>
      <c r="AA77" s="42">
        <v>320</v>
      </c>
      <c r="AB77" s="40">
        <f t="shared" si="3"/>
        <v>287.8</v>
      </c>
      <c r="AC77" s="43"/>
      <c r="AD77" s="41"/>
      <c r="AE77" s="41"/>
      <c r="AF77" s="41"/>
      <c r="AG77" s="41"/>
      <c r="AH77" s="41"/>
      <c r="AI77" s="41"/>
      <c r="AJ77" s="41"/>
      <c r="AK77" s="44">
        <f t="shared" si="2"/>
        <v>287.8</v>
      </c>
      <c r="AL77" s="45"/>
      <c r="AM77" s="45"/>
      <c r="AN77" s="44"/>
      <c r="AO77" s="46"/>
    </row>
    <row r="78" spans="1:41" ht="21" customHeight="1" x14ac:dyDescent="0.2">
      <c r="A78" s="34">
        <v>74</v>
      </c>
      <c r="B78" s="35" t="s">
        <v>269</v>
      </c>
      <c r="C78" s="36">
        <v>75079420</v>
      </c>
      <c r="D78" s="38" t="s">
        <v>267</v>
      </c>
      <c r="E78" s="37" t="s">
        <v>194</v>
      </c>
      <c r="F78" s="38" t="s">
        <v>21</v>
      </c>
      <c r="G78" s="38" t="s">
        <v>8</v>
      </c>
      <c r="H78" s="38" t="s">
        <v>270</v>
      </c>
      <c r="I78" s="38" t="s">
        <v>10</v>
      </c>
      <c r="J78" s="40">
        <v>24.3</v>
      </c>
      <c r="K78" s="40"/>
      <c r="L78" s="40">
        <v>23</v>
      </c>
      <c r="M78" s="40"/>
      <c r="N78" s="40">
        <v>12</v>
      </c>
      <c r="O78" s="40">
        <v>23</v>
      </c>
      <c r="P78" s="40">
        <v>23</v>
      </c>
      <c r="Q78" s="40">
        <v>19.2</v>
      </c>
      <c r="R78" s="40">
        <v>27</v>
      </c>
      <c r="S78" s="40">
        <v>43</v>
      </c>
      <c r="T78" s="40">
        <v>6.8</v>
      </c>
      <c r="U78" s="40">
        <v>0</v>
      </c>
      <c r="V78" s="40">
        <v>0</v>
      </c>
      <c r="W78" s="41">
        <v>0</v>
      </c>
      <c r="X78" s="41">
        <v>0</v>
      </c>
      <c r="Y78" s="41">
        <v>0</v>
      </c>
      <c r="Z78" s="41">
        <v>0</v>
      </c>
      <c r="AA78" s="42">
        <v>320</v>
      </c>
      <c r="AB78" s="40">
        <f t="shared" si="3"/>
        <v>118.69999999999999</v>
      </c>
      <c r="AC78" s="43"/>
      <c r="AD78" s="41"/>
      <c r="AE78" s="41"/>
      <c r="AF78" s="41"/>
      <c r="AG78" s="41"/>
      <c r="AH78" s="41"/>
      <c r="AI78" s="41"/>
      <c r="AJ78" s="41"/>
      <c r="AK78" s="44">
        <f t="shared" si="2"/>
        <v>118.69999999999999</v>
      </c>
      <c r="AL78" s="45"/>
      <c r="AM78" s="45"/>
      <c r="AN78" s="44"/>
      <c r="AO78" s="46"/>
    </row>
    <row r="79" spans="1:41" ht="21" customHeight="1" x14ac:dyDescent="0.2">
      <c r="A79" s="34">
        <v>75</v>
      </c>
      <c r="B79" s="35" t="s">
        <v>271</v>
      </c>
      <c r="C79" s="36">
        <v>7521214</v>
      </c>
      <c r="D79" s="38" t="s">
        <v>267</v>
      </c>
      <c r="E79" s="37" t="s">
        <v>194</v>
      </c>
      <c r="F79" s="38" t="s">
        <v>201</v>
      </c>
      <c r="G79" s="38" t="s">
        <v>8</v>
      </c>
      <c r="H79" s="39">
        <v>35828</v>
      </c>
      <c r="I79" s="38" t="s">
        <v>11</v>
      </c>
      <c r="J79" s="40">
        <v>18</v>
      </c>
      <c r="K79" s="40"/>
      <c r="L79" s="40"/>
      <c r="M79" s="40"/>
      <c r="N79" s="40"/>
      <c r="O79" s="40"/>
      <c r="P79" s="40"/>
      <c r="Q79" s="40">
        <v>7.2</v>
      </c>
      <c r="R79" s="40"/>
      <c r="S79" s="40">
        <v>19.399999999999999</v>
      </c>
      <c r="T79" s="40"/>
      <c r="U79" s="40">
        <v>0</v>
      </c>
      <c r="V79" s="40">
        <v>14.9</v>
      </c>
      <c r="W79" s="41">
        <v>13.1</v>
      </c>
      <c r="X79" s="41">
        <v>0</v>
      </c>
      <c r="Y79" s="41">
        <v>14.6</v>
      </c>
      <c r="Z79" s="41">
        <v>0</v>
      </c>
      <c r="AA79" s="42">
        <v>540</v>
      </c>
      <c r="AB79" s="40">
        <f t="shared" si="3"/>
        <v>452.8</v>
      </c>
      <c r="AC79" s="43"/>
      <c r="AD79" s="41"/>
      <c r="AE79" s="41"/>
      <c r="AF79" s="41"/>
      <c r="AG79" s="41"/>
      <c r="AH79" s="41"/>
      <c r="AI79" s="41"/>
      <c r="AJ79" s="41"/>
      <c r="AK79" s="44">
        <f t="shared" si="2"/>
        <v>452.8</v>
      </c>
      <c r="AL79" s="45"/>
      <c r="AM79" s="45"/>
      <c r="AN79" s="44"/>
      <c r="AO79" s="46"/>
    </row>
    <row r="80" spans="1:41" ht="21" customHeight="1" x14ac:dyDescent="0.2">
      <c r="A80" s="34">
        <v>76</v>
      </c>
      <c r="B80" s="35" t="s">
        <v>272</v>
      </c>
      <c r="C80" s="36">
        <v>33816860</v>
      </c>
      <c r="D80" s="38" t="s">
        <v>267</v>
      </c>
      <c r="E80" s="37" t="s">
        <v>194</v>
      </c>
      <c r="F80" s="38" t="s">
        <v>17</v>
      </c>
      <c r="G80" s="38" t="s">
        <v>8</v>
      </c>
      <c r="H80" s="39">
        <v>41436</v>
      </c>
      <c r="I80" s="38" t="s">
        <v>10</v>
      </c>
      <c r="J80" s="40"/>
      <c r="K80" s="40"/>
      <c r="L80" s="40"/>
      <c r="M80" s="40"/>
      <c r="N80" s="40">
        <v>12</v>
      </c>
      <c r="O80" s="40"/>
      <c r="P80" s="40"/>
      <c r="Q80" s="40"/>
      <c r="R80" s="40"/>
      <c r="S80" s="40"/>
      <c r="T80" s="40"/>
      <c r="U80" s="40">
        <v>0</v>
      </c>
      <c r="V80" s="40">
        <v>0</v>
      </c>
      <c r="W80" s="41">
        <v>0</v>
      </c>
      <c r="X80" s="41">
        <v>0</v>
      </c>
      <c r="Y80" s="41">
        <v>0</v>
      </c>
      <c r="Z80" s="41">
        <v>0</v>
      </c>
      <c r="AA80" s="42">
        <v>320</v>
      </c>
      <c r="AB80" s="40">
        <f t="shared" si="3"/>
        <v>308</v>
      </c>
      <c r="AC80" s="43"/>
      <c r="AD80" s="41"/>
      <c r="AE80" s="41"/>
      <c r="AF80" s="41"/>
      <c r="AG80" s="41"/>
      <c r="AH80" s="41"/>
      <c r="AI80" s="41"/>
      <c r="AJ80" s="41"/>
      <c r="AK80" s="44">
        <f t="shared" si="2"/>
        <v>308</v>
      </c>
      <c r="AL80" s="45"/>
      <c r="AM80" s="45"/>
      <c r="AN80" s="44"/>
      <c r="AO80" s="46"/>
    </row>
    <row r="81" spans="1:41" ht="21" customHeight="1" x14ac:dyDescent="0.2">
      <c r="A81" s="34">
        <v>77</v>
      </c>
      <c r="B81" s="86" t="s">
        <v>273</v>
      </c>
      <c r="C81" s="87">
        <v>91499439</v>
      </c>
      <c r="D81" s="38" t="s">
        <v>274</v>
      </c>
      <c r="E81" s="37" t="s">
        <v>198</v>
      </c>
      <c r="F81" s="88" t="s">
        <v>21</v>
      </c>
      <c r="G81" s="88" t="s">
        <v>8</v>
      </c>
      <c r="H81" s="90">
        <v>44963</v>
      </c>
      <c r="I81" s="88" t="s">
        <v>22</v>
      </c>
      <c r="J81" s="91"/>
      <c r="K81" s="91"/>
      <c r="L81" s="91"/>
      <c r="M81" s="91"/>
      <c r="N81" s="91"/>
      <c r="O81" s="91"/>
      <c r="P81" s="91"/>
      <c r="Q81" s="91"/>
      <c r="R81" s="91"/>
      <c r="S81" s="91"/>
      <c r="T81" s="91"/>
      <c r="U81" s="91"/>
      <c r="V81" s="91"/>
      <c r="W81" s="93"/>
      <c r="X81" s="93">
        <v>19.5</v>
      </c>
      <c r="Y81" s="93">
        <v>0</v>
      </c>
      <c r="Z81" s="93">
        <v>0</v>
      </c>
      <c r="AA81" s="88">
        <v>160</v>
      </c>
      <c r="AB81" s="40">
        <f t="shared" si="3"/>
        <v>140.5</v>
      </c>
      <c r="AC81" s="93"/>
      <c r="AD81" s="93"/>
      <c r="AE81" s="93"/>
      <c r="AF81" s="93"/>
      <c r="AG81" s="93"/>
      <c r="AH81" s="93"/>
      <c r="AI81" s="93"/>
      <c r="AJ81" s="93"/>
      <c r="AK81" s="44">
        <f t="shared" si="2"/>
        <v>140.5</v>
      </c>
      <c r="AL81" s="50"/>
      <c r="AM81" s="50"/>
      <c r="AN81" s="100"/>
      <c r="AO81" s="89"/>
    </row>
    <row r="82" spans="1:41" ht="21" customHeight="1" x14ac:dyDescent="0.2">
      <c r="A82" s="34">
        <v>78</v>
      </c>
      <c r="B82" s="35" t="s">
        <v>275</v>
      </c>
      <c r="C82" s="36">
        <v>89005929</v>
      </c>
      <c r="D82" s="38" t="s">
        <v>274</v>
      </c>
      <c r="E82" s="37" t="s">
        <v>198</v>
      </c>
      <c r="F82" s="38" t="s">
        <v>201</v>
      </c>
      <c r="G82" s="38" t="s">
        <v>8</v>
      </c>
      <c r="H82" s="39">
        <v>38376</v>
      </c>
      <c r="I82" s="38" t="s">
        <v>10</v>
      </c>
      <c r="J82" s="40">
        <v>64.7</v>
      </c>
      <c r="K82" s="40"/>
      <c r="L82" s="40"/>
      <c r="M82" s="40">
        <v>12</v>
      </c>
      <c r="N82" s="40"/>
      <c r="O82" s="40">
        <v>15</v>
      </c>
      <c r="P82" s="40"/>
      <c r="Q82" s="40"/>
      <c r="R82" s="40"/>
      <c r="S82" s="40">
        <v>45.2</v>
      </c>
      <c r="T82" s="40">
        <v>27.7</v>
      </c>
      <c r="U82" s="40">
        <v>0</v>
      </c>
      <c r="V82" s="40">
        <v>16</v>
      </c>
      <c r="W82" s="41">
        <v>0</v>
      </c>
      <c r="X82" s="41">
        <v>0</v>
      </c>
      <c r="Y82" s="41">
        <v>8</v>
      </c>
      <c r="Z82" s="41">
        <v>4</v>
      </c>
      <c r="AA82" s="42">
        <v>320</v>
      </c>
      <c r="AB82" s="40">
        <f t="shared" si="3"/>
        <v>127.4</v>
      </c>
      <c r="AC82" s="43"/>
      <c r="AD82" s="41"/>
      <c r="AE82" s="41"/>
      <c r="AF82" s="41"/>
      <c r="AG82" s="41"/>
      <c r="AH82" s="41"/>
      <c r="AI82" s="41"/>
      <c r="AJ82" s="41"/>
      <c r="AK82" s="44">
        <f t="shared" si="2"/>
        <v>127.4</v>
      </c>
      <c r="AL82" s="45"/>
      <c r="AM82" s="45"/>
      <c r="AN82" s="44"/>
      <c r="AO82" s="46"/>
    </row>
    <row r="83" spans="1:41" ht="21" customHeight="1" x14ac:dyDescent="0.2">
      <c r="A83" s="34">
        <v>79</v>
      </c>
      <c r="B83" s="35" t="s">
        <v>276</v>
      </c>
      <c r="C83" s="36">
        <v>98337524</v>
      </c>
      <c r="D83" s="38" t="s">
        <v>274</v>
      </c>
      <c r="E83" s="37" t="s">
        <v>198</v>
      </c>
      <c r="F83" s="38" t="s">
        <v>201</v>
      </c>
      <c r="G83" s="38" t="s">
        <v>8</v>
      </c>
      <c r="H83" s="38">
        <v>2001</v>
      </c>
      <c r="I83" s="38" t="s">
        <v>10</v>
      </c>
      <c r="J83" s="40">
        <v>33.9</v>
      </c>
      <c r="K83" s="40">
        <v>8</v>
      </c>
      <c r="L83" s="40"/>
      <c r="M83" s="40"/>
      <c r="N83" s="40">
        <v>4</v>
      </c>
      <c r="O83" s="40"/>
      <c r="P83" s="40">
        <v>8</v>
      </c>
      <c r="Q83" s="40">
        <v>15</v>
      </c>
      <c r="R83" s="40"/>
      <c r="S83" s="40">
        <v>3</v>
      </c>
      <c r="T83" s="40"/>
      <c r="U83" s="40">
        <v>0</v>
      </c>
      <c r="V83" s="40">
        <v>25</v>
      </c>
      <c r="W83" s="41">
        <v>12.3</v>
      </c>
      <c r="X83" s="41">
        <v>6</v>
      </c>
      <c r="Y83" s="41">
        <v>0</v>
      </c>
      <c r="Z83" s="41">
        <v>0</v>
      </c>
      <c r="AA83" s="42">
        <v>320</v>
      </c>
      <c r="AB83" s="40">
        <f t="shared" si="3"/>
        <v>204.8</v>
      </c>
      <c r="AC83" s="43"/>
      <c r="AD83" s="41"/>
      <c r="AE83" s="41"/>
      <c r="AF83" s="41"/>
      <c r="AG83" s="41"/>
      <c r="AH83" s="41"/>
      <c r="AI83" s="41"/>
      <c r="AJ83" s="41"/>
      <c r="AK83" s="44">
        <f t="shared" si="2"/>
        <v>204.8</v>
      </c>
      <c r="AL83" s="45"/>
      <c r="AM83" s="45"/>
      <c r="AN83" s="44"/>
      <c r="AO83" s="46"/>
    </row>
    <row r="84" spans="1:41" ht="25.5" x14ac:dyDescent="0.2">
      <c r="A84" s="34">
        <v>80</v>
      </c>
      <c r="B84" s="101" t="s">
        <v>277</v>
      </c>
      <c r="C84" s="55">
        <v>70420310</v>
      </c>
      <c r="D84" s="57" t="s">
        <v>274</v>
      </c>
      <c r="E84" s="56" t="s">
        <v>198</v>
      </c>
      <c r="F84" s="57" t="s">
        <v>201</v>
      </c>
      <c r="G84" s="57" t="s">
        <v>8</v>
      </c>
      <c r="H84" s="102">
        <v>40973</v>
      </c>
      <c r="I84" s="57" t="s">
        <v>10</v>
      </c>
      <c r="J84" s="59"/>
      <c r="K84" s="59"/>
      <c r="L84" s="59"/>
      <c r="M84" s="59">
        <v>34</v>
      </c>
      <c r="N84" s="59">
        <v>3</v>
      </c>
      <c r="O84" s="59">
        <v>15</v>
      </c>
      <c r="P84" s="59">
        <v>4</v>
      </c>
      <c r="Q84" s="59"/>
      <c r="R84" s="59">
        <v>15</v>
      </c>
      <c r="S84" s="59">
        <v>15.5</v>
      </c>
      <c r="T84" s="59">
        <v>57</v>
      </c>
      <c r="U84" s="59">
        <v>16.5</v>
      </c>
      <c r="V84" s="59">
        <v>0</v>
      </c>
      <c r="W84" s="62">
        <v>30</v>
      </c>
      <c r="X84" s="62">
        <v>0</v>
      </c>
      <c r="Y84" s="62">
        <v>15</v>
      </c>
      <c r="Z84" s="62">
        <v>6</v>
      </c>
      <c r="AA84" s="61">
        <v>320</v>
      </c>
      <c r="AB84" s="59">
        <f t="shared" si="3"/>
        <v>109</v>
      </c>
      <c r="AC84" s="62"/>
      <c r="AD84" s="62"/>
      <c r="AE84" s="62"/>
      <c r="AF84" s="62"/>
      <c r="AG84" s="62"/>
      <c r="AH84" s="62"/>
      <c r="AI84" s="62"/>
      <c r="AJ84" s="62"/>
      <c r="AK84" s="63">
        <f t="shared" si="2"/>
        <v>109</v>
      </c>
      <c r="AL84" s="103"/>
      <c r="AM84" s="103"/>
      <c r="AN84" s="104" t="s">
        <v>278</v>
      </c>
      <c r="AO84" s="105" t="s">
        <v>279</v>
      </c>
    </row>
    <row r="85" spans="1:41" ht="21" customHeight="1" x14ac:dyDescent="0.2">
      <c r="A85" s="34">
        <v>81</v>
      </c>
      <c r="B85" s="35" t="s">
        <v>280</v>
      </c>
      <c r="C85" s="36">
        <v>43267159</v>
      </c>
      <c r="D85" s="38" t="s">
        <v>274</v>
      </c>
      <c r="E85" s="37" t="s">
        <v>198</v>
      </c>
      <c r="F85" s="38" t="s">
        <v>201</v>
      </c>
      <c r="G85" s="38" t="s">
        <v>8</v>
      </c>
      <c r="H85" s="39">
        <v>43864</v>
      </c>
      <c r="I85" s="38" t="s">
        <v>10</v>
      </c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>
        <v>40.56</v>
      </c>
      <c r="V85" s="40">
        <v>0</v>
      </c>
      <c r="W85" s="41">
        <v>16</v>
      </c>
      <c r="X85" s="41">
        <v>7.5</v>
      </c>
      <c r="Y85" s="41">
        <v>0</v>
      </c>
      <c r="Z85" s="41">
        <v>0</v>
      </c>
      <c r="AA85" s="42">
        <v>320</v>
      </c>
      <c r="AB85" s="40">
        <f t="shared" si="3"/>
        <v>255.94</v>
      </c>
      <c r="AC85" s="43"/>
      <c r="AD85" s="43"/>
      <c r="AE85" s="43"/>
      <c r="AF85" s="43"/>
      <c r="AG85" s="43"/>
      <c r="AH85" s="43"/>
      <c r="AI85" s="43"/>
      <c r="AJ85" s="43"/>
      <c r="AK85" s="44">
        <f t="shared" si="2"/>
        <v>255.94</v>
      </c>
      <c r="AL85" s="45"/>
      <c r="AM85" s="45"/>
      <c r="AN85" s="44"/>
      <c r="AO85" s="37"/>
    </row>
    <row r="86" spans="1:41" ht="21" customHeight="1" x14ac:dyDescent="0.2">
      <c r="A86" s="34">
        <v>82</v>
      </c>
      <c r="B86" s="35" t="s">
        <v>281</v>
      </c>
      <c r="C86" s="36">
        <v>10110620</v>
      </c>
      <c r="D86" s="38" t="s">
        <v>274</v>
      </c>
      <c r="E86" s="37" t="s">
        <v>198</v>
      </c>
      <c r="F86" s="38" t="s">
        <v>201</v>
      </c>
      <c r="G86" s="38" t="s">
        <v>8</v>
      </c>
      <c r="H86" s="39">
        <v>39664</v>
      </c>
      <c r="I86" s="38" t="s">
        <v>11</v>
      </c>
      <c r="J86" s="40">
        <v>62</v>
      </c>
      <c r="K86" s="40">
        <v>9</v>
      </c>
      <c r="L86" s="40">
        <v>23.7</v>
      </c>
      <c r="M86" s="40">
        <v>30.8</v>
      </c>
      <c r="N86" s="40"/>
      <c r="O86" s="40"/>
      <c r="P86" s="40">
        <v>43.2</v>
      </c>
      <c r="Q86" s="40"/>
      <c r="R86" s="40">
        <v>24.9</v>
      </c>
      <c r="S86" s="40">
        <v>20</v>
      </c>
      <c r="T86" s="40"/>
      <c r="U86" s="40">
        <v>3.4</v>
      </c>
      <c r="V86" s="40">
        <v>3.4</v>
      </c>
      <c r="W86" s="41">
        <v>0</v>
      </c>
      <c r="X86" s="41">
        <v>0</v>
      </c>
      <c r="Y86" s="41">
        <v>0</v>
      </c>
      <c r="Z86" s="41">
        <v>0</v>
      </c>
      <c r="AA86" s="42">
        <v>540</v>
      </c>
      <c r="AB86" s="40">
        <f t="shared" si="3"/>
        <v>319.60000000000002</v>
      </c>
      <c r="AC86" s="43"/>
      <c r="AD86" s="41"/>
      <c r="AE86" s="41"/>
      <c r="AF86" s="41"/>
      <c r="AG86" s="41"/>
      <c r="AH86" s="41"/>
      <c r="AI86" s="41"/>
      <c r="AJ86" s="41"/>
      <c r="AK86" s="44">
        <f t="shared" si="2"/>
        <v>319.60000000000002</v>
      </c>
      <c r="AL86" s="45"/>
      <c r="AM86" s="45"/>
      <c r="AN86" s="44"/>
      <c r="AO86" s="46"/>
    </row>
    <row r="87" spans="1:41" ht="21" customHeight="1" x14ac:dyDescent="0.2">
      <c r="A87" s="34">
        <v>83</v>
      </c>
      <c r="B87" s="35" t="s">
        <v>282</v>
      </c>
      <c r="C87" s="36">
        <v>41914225</v>
      </c>
      <c r="D87" s="38" t="s">
        <v>283</v>
      </c>
      <c r="E87" s="37" t="s">
        <v>194</v>
      </c>
      <c r="F87" s="38" t="s">
        <v>17</v>
      </c>
      <c r="G87" s="38" t="s">
        <v>8</v>
      </c>
      <c r="H87" s="39">
        <v>42955</v>
      </c>
      <c r="I87" s="38" t="s">
        <v>10</v>
      </c>
      <c r="J87" s="40"/>
      <c r="K87" s="40"/>
      <c r="L87" s="40"/>
      <c r="M87" s="40"/>
      <c r="N87" s="40"/>
      <c r="O87" s="40"/>
      <c r="P87" s="40"/>
      <c r="Q87" s="40"/>
      <c r="R87" s="40">
        <v>27.5</v>
      </c>
      <c r="S87" s="40"/>
      <c r="T87" s="40"/>
      <c r="U87" s="40">
        <v>0</v>
      </c>
      <c r="V87" s="40">
        <v>16.399999999999999</v>
      </c>
      <c r="W87" s="41">
        <v>27</v>
      </c>
      <c r="X87" s="41">
        <v>0</v>
      </c>
      <c r="Y87" s="41">
        <v>27</v>
      </c>
      <c r="Z87" s="41">
        <v>16.8</v>
      </c>
      <c r="AA87" s="42">
        <v>320</v>
      </c>
      <c r="AB87" s="40">
        <f t="shared" si="3"/>
        <v>205.3</v>
      </c>
      <c r="AC87" s="43"/>
      <c r="AD87" s="41"/>
      <c r="AE87" s="41"/>
      <c r="AF87" s="41"/>
      <c r="AG87" s="41"/>
      <c r="AH87" s="41"/>
      <c r="AI87" s="41"/>
      <c r="AJ87" s="41"/>
      <c r="AK87" s="44">
        <f t="shared" si="2"/>
        <v>205.3</v>
      </c>
      <c r="AL87" s="106"/>
      <c r="AM87" s="45"/>
      <c r="AN87" s="44"/>
      <c r="AO87" s="46"/>
    </row>
    <row r="88" spans="1:41" ht="21" customHeight="1" x14ac:dyDescent="0.2">
      <c r="A88" s="34">
        <v>84</v>
      </c>
      <c r="B88" s="35" t="s">
        <v>284</v>
      </c>
      <c r="C88" s="36">
        <v>7548440</v>
      </c>
      <c r="D88" s="38" t="s">
        <v>283</v>
      </c>
      <c r="E88" s="37" t="s">
        <v>194</v>
      </c>
      <c r="F88" s="38" t="s">
        <v>21</v>
      </c>
      <c r="G88" s="38" t="s">
        <v>8</v>
      </c>
      <c r="H88" s="39">
        <v>41855</v>
      </c>
      <c r="I88" s="38" t="s">
        <v>10</v>
      </c>
      <c r="J88" s="40"/>
      <c r="K88" s="40"/>
      <c r="L88" s="40"/>
      <c r="M88" s="40"/>
      <c r="N88" s="40"/>
      <c r="O88" s="40">
        <v>9</v>
      </c>
      <c r="P88" s="40"/>
      <c r="Q88" s="40">
        <v>1.3</v>
      </c>
      <c r="R88" s="40">
        <v>12</v>
      </c>
      <c r="S88" s="40">
        <v>19.7</v>
      </c>
      <c r="T88" s="40"/>
      <c r="U88" s="40">
        <v>0</v>
      </c>
      <c r="V88" s="40">
        <v>13.8</v>
      </c>
      <c r="W88" s="41">
        <v>13.1</v>
      </c>
      <c r="X88" s="41">
        <v>0</v>
      </c>
      <c r="Y88" s="41">
        <v>0</v>
      </c>
      <c r="Z88" s="41">
        <v>17.2</v>
      </c>
      <c r="AA88" s="42">
        <v>320</v>
      </c>
      <c r="AB88" s="40">
        <f t="shared" si="3"/>
        <v>233.9</v>
      </c>
      <c r="AC88" s="43"/>
      <c r="AD88" s="41"/>
      <c r="AE88" s="41"/>
      <c r="AF88" s="41"/>
      <c r="AG88" s="41"/>
      <c r="AH88" s="41"/>
      <c r="AI88" s="41"/>
      <c r="AJ88" s="41"/>
      <c r="AK88" s="44">
        <f t="shared" si="2"/>
        <v>233.9</v>
      </c>
      <c r="AL88" s="45"/>
      <c r="AM88" s="45"/>
      <c r="AN88" s="44"/>
      <c r="AO88" s="46"/>
    </row>
    <row r="89" spans="1:41" ht="21" customHeight="1" x14ac:dyDescent="0.2">
      <c r="A89" s="34">
        <v>85</v>
      </c>
      <c r="B89" s="35" t="s">
        <v>285</v>
      </c>
      <c r="C89" s="36">
        <v>34536538</v>
      </c>
      <c r="D89" s="38" t="s">
        <v>283</v>
      </c>
      <c r="E89" s="37" t="s">
        <v>194</v>
      </c>
      <c r="F89" s="38" t="s">
        <v>17</v>
      </c>
      <c r="G89" s="38" t="s">
        <v>8</v>
      </c>
      <c r="H89" s="39">
        <v>42955</v>
      </c>
      <c r="I89" s="38" t="s">
        <v>10</v>
      </c>
      <c r="J89" s="40"/>
      <c r="K89" s="40"/>
      <c r="L89" s="40"/>
      <c r="M89" s="40"/>
      <c r="N89" s="40"/>
      <c r="O89" s="40"/>
      <c r="P89" s="40"/>
      <c r="Q89" s="40"/>
      <c r="R89" s="40">
        <v>21.1</v>
      </c>
      <c r="S89" s="40">
        <v>26.2</v>
      </c>
      <c r="T89" s="40">
        <v>14.7</v>
      </c>
      <c r="U89" s="40">
        <v>0</v>
      </c>
      <c r="V89" s="40">
        <v>16.399999999999999</v>
      </c>
      <c r="W89" s="41">
        <v>28.5</v>
      </c>
      <c r="X89" s="41">
        <v>0</v>
      </c>
      <c r="Y89" s="41">
        <v>27</v>
      </c>
      <c r="Z89" s="41">
        <v>13.8</v>
      </c>
      <c r="AA89" s="42">
        <v>320</v>
      </c>
      <c r="AB89" s="40">
        <f t="shared" si="3"/>
        <v>172.29999999999998</v>
      </c>
      <c r="AC89" s="43"/>
      <c r="AD89" s="41"/>
      <c r="AE89" s="41"/>
      <c r="AF89" s="41"/>
      <c r="AG89" s="41"/>
      <c r="AH89" s="41"/>
      <c r="AI89" s="41"/>
      <c r="AJ89" s="41"/>
      <c r="AK89" s="44">
        <f t="shared" si="2"/>
        <v>172.29999999999998</v>
      </c>
      <c r="AL89" s="45"/>
      <c r="AM89" s="45"/>
      <c r="AN89" s="44"/>
      <c r="AO89" s="46"/>
    </row>
    <row r="90" spans="1:41" ht="21" customHeight="1" x14ac:dyDescent="0.2">
      <c r="A90" s="34">
        <v>86</v>
      </c>
      <c r="B90" s="35" t="s">
        <v>286</v>
      </c>
      <c r="C90" s="36">
        <v>18494950</v>
      </c>
      <c r="D90" s="38" t="s">
        <v>63</v>
      </c>
      <c r="E90" s="37" t="s">
        <v>29</v>
      </c>
      <c r="F90" s="38" t="s">
        <v>17</v>
      </c>
      <c r="G90" s="38" t="s">
        <v>8</v>
      </c>
      <c r="H90" s="39">
        <v>37288</v>
      </c>
      <c r="I90" s="38" t="s">
        <v>62</v>
      </c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>
        <v>0</v>
      </c>
      <c r="V90" s="40">
        <v>0</v>
      </c>
      <c r="W90" s="41">
        <v>12.9</v>
      </c>
      <c r="X90" s="41">
        <v>0</v>
      </c>
      <c r="Y90" s="41">
        <v>0</v>
      </c>
      <c r="Z90" s="41">
        <v>0</v>
      </c>
      <c r="AA90" s="42">
        <v>80</v>
      </c>
      <c r="AB90" s="40">
        <f t="shared" si="3"/>
        <v>67.099999999999994</v>
      </c>
      <c r="AC90" s="43"/>
      <c r="AD90" s="41"/>
      <c r="AE90" s="41"/>
      <c r="AF90" s="41"/>
      <c r="AG90" s="41"/>
      <c r="AH90" s="41"/>
      <c r="AI90" s="41"/>
      <c r="AJ90" s="41"/>
      <c r="AK90" s="44">
        <f t="shared" si="2"/>
        <v>67.099999999999994</v>
      </c>
      <c r="AL90" s="45"/>
      <c r="AM90" s="45"/>
      <c r="AN90" s="44"/>
      <c r="AO90" s="46"/>
    </row>
    <row r="91" spans="1:41" s="168" customFormat="1" ht="21" customHeight="1" x14ac:dyDescent="0.2">
      <c r="A91" s="34">
        <v>87</v>
      </c>
      <c r="B91" s="35" t="s">
        <v>287</v>
      </c>
      <c r="C91" s="36">
        <v>7561197</v>
      </c>
      <c r="D91" s="38" t="s">
        <v>63</v>
      </c>
      <c r="E91" s="37" t="s">
        <v>29</v>
      </c>
      <c r="F91" s="38" t="s">
        <v>201</v>
      </c>
      <c r="G91" s="38" t="s">
        <v>8</v>
      </c>
      <c r="H91" s="39">
        <v>37288</v>
      </c>
      <c r="I91" s="38" t="s">
        <v>10</v>
      </c>
      <c r="J91" s="40">
        <v>4</v>
      </c>
      <c r="K91" s="40"/>
      <c r="L91" s="40"/>
      <c r="M91" s="40"/>
      <c r="N91" s="40"/>
      <c r="O91" s="40"/>
      <c r="P91" s="40"/>
      <c r="Q91" s="40"/>
      <c r="R91" s="40"/>
      <c r="S91" s="40"/>
      <c r="T91" s="40">
        <v>7.5</v>
      </c>
      <c r="U91" s="40">
        <v>0</v>
      </c>
      <c r="V91" s="40">
        <v>12.5</v>
      </c>
      <c r="W91" s="41">
        <v>12.9</v>
      </c>
      <c r="X91" s="41">
        <v>0</v>
      </c>
      <c r="Y91" s="41">
        <v>35.5</v>
      </c>
      <c r="Z91" s="41">
        <v>27.799999999999997</v>
      </c>
      <c r="AA91" s="42">
        <v>320</v>
      </c>
      <c r="AB91" s="40">
        <f t="shared" si="3"/>
        <v>219.8</v>
      </c>
      <c r="AC91" s="43"/>
      <c r="AD91" s="41"/>
      <c r="AE91" s="41"/>
      <c r="AF91" s="41"/>
      <c r="AG91" s="41"/>
      <c r="AH91" s="41"/>
      <c r="AI91" s="41"/>
      <c r="AJ91" s="41"/>
      <c r="AK91" s="44">
        <f t="shared" si="2"/>
        <v>219.8</v>
      </c>
      <c r="AL91" s="45"/>
      <c r="AM91" s="45"/>
      <c r="AN91" s="44"/>
      <c r="AO91" s="46"/>
    </row>
    <row r="92" spans="1:41" ht="21" customHeight="1" x14ac:dyDescent="0.2">
      <c r="A92" s="34">
        <v>88</v>
      </c>
      <c r="B92" s="35" t="s">
        <v>288</v>
      </c>
      <c r="C92" s="36">
        <v>41948404</v>
      </c>
      <c r="D92" s="38" t="s">
        <v>63</v>
      </c>
      <c r="E92" s="37" t="s">
        <v>29</v>
      </c>
      <c r="F92" s="38" t="s">
        <v>17</v>
      </c>
      <c r="G92" s="38" t="s">
        <v>8</v>
      </c>
      <c r="H92" s="39">
        <v>42955</v>
      </c>
      <c r="I92" s="38" t="s">
        <v>22</v>
      </c>
      <c r="J92" s="40"/>
      <c r="K92" s="40"/>
      <c r="L92" s="40"/>
      <c r="M92" s="40"/>
      <c r="N92" s="40"/>
      <c r="O92" s="40"/>
      <c r="P92" s="40"/>
      <c r="Q92" s="40"/>
      <c r="R92" s="40">
        <v>6</v>
      </c>
      <c r="S92" s="40"/>
      <c r="T92" s="40"/>
      <c r="U92" s="40">
        <v>13.8</v>
      </c>
      <c r="V92" s="40">
        <v>0</v>
      </c>
      <c r="W92" s="41">
        <v>0</v>
      </c>
      <c r="X92" s="41">
        <v>0</v>
      </c>
      <c r="Y92" s="41">
        <v>0</v>
      </c>
      <c r="Z92" s="41">
        <v>0</v>
      </c>
      <c r="AA92" s="42">
        <v>160</v>
      </c>
      <c r="AB92" s="40">
        <f t="shared" si="3"/>
        <v>140.19999999999999</v>
      </c>
      <c r="AC92" s="43"/>
      <c r="AD92" s="41"/>
      <c r="AE92" s="41"/>
      <c r="AF92" s="41"/>
      <c r="AG92" s="41"/>
      <c r="AH92" s="41"/>
      <c r="AI92" s="41"/>
      <c r="AJ92" s="41"/>
      <c r="AK92" s="44">
        <f t="shared" si="2"/>
        <v>140.19999999999999</v>
      </c>
      <c r="AL92" s="45"/>
      <c r="AM92" s="45"/>
      <c r="AN92" s="44"/>
      <c r="AO92" s="46"/>
    </row>
    <row r="93" spans="1:41" s="168" customFormat="1" ht="21" customHeight="1" x14ac:dyDescent="0.2">
      <c r="A93" s="34">
        <v>89</v>
      </c>
      <c r="B93" s="35" t="s">
        <v>289</v>
      </c>
      <c r="C93" s="36">
        <v>41945865</v>
      </c>
      <c r="D93" s="38" t="s">
        <v>63</v>
      </c>
      <c r="E93" s="37" t="s">
        <v>29</v>
      </c>
      <c r="F93" s="38" t="s">
        <v>17</v>
      </c>
      <c r="G93" s="38" t="s">
        <v>8</v>
      </c>
      <c r="H93" s="39">
        <v>44963</v>
      </c>
      <c r="I93" s="38" t="s">
        <v>22</v>
      </c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1"/>
      <c r="X93" s="41">
        <v>14.6</v>
      </c>
      <c r="Y93" s="41">
        <v>0</v>
      </c>
      <c r="Z93" s="41">
        <v>0</v>
      </c>
      <c r="AA93" s="42">
        <v>160</v>
      </c>
      <c r="AB93" s="40">
        <f t="shared" si="3"/>
        <v>145.4</v>
      </c>
      <c r="AC93" s="43"/>
      <c r="AD93" s="41"/>
      <c r="AE93" s="41"/>
      <c r="AF93" s="41"/>
      <c r="AG93" s="41"/>
      <c r="AH93" s="41"/>
      <c r="AI93" s="41"/>
      <c r="AJ93" s="41"/>
      <c r="AK93" s="44">
        <f t="shared" si="2"/>
        <v>145.4</v>
      </c>
      <c r="AL93" s="45"/>
      <c r="AM93" s="45"/>
      <c r="AN93" s="44"/>
      <c r="AO93" s="46"/>
    </row>
    <row r="94" spans="1:41" ht="21" customHeight="1" x14ac:dyDescent="0.2">
      <c r="A94" s="34">
        <v>90</v>
      </c>
      <c r="B94" s="35" t="s">
        <v>290</v>
      </c>
      <c r="C94" s="36">
        <v>89008169</v>
      </c>
      <c r="D94" s="38" t="s">
        <v>63</v>
      </c>
      <c r="E94" s="37" t="s">
        <v>29</v>
      </c>
      <c r="F94" s="38" t="s">
        <v>17</v>
      </c>
      <c r="G94" s="38" t="s">
        <v>8</v>
      </c>
      <c r="H94" s="39">
        <v>44963</v>
      </c>
      <c r="I94" s="38" t="s">
        <v>62</v>
      </c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1"/>
      <c r="X94" s="41">
        <v>7.5</v>
      </c>
      <c r="Y94" s="41">
        <v>0</v>
      </c>
      <c r="Z94" s="41">
        <v>0</v>
      </c>
      <c r="AA94" s="42">
        <v>80</v>
      </c>
      <c r="AB94" s="40">
        <f t="shared" si="3"/>
        <v>72.5</v>
      </c>
      <c r="AC94" s="43"/>
      <c r="AD94" s="41"/>
      <c r="AE94" s="41"/>
      <c r="AF94" s="41"/>
      <c r="AG94" s="41"/>
      <c r="AH94" s="41"/>
      <c r="AI94" s="41"/>
      <c r="AJ94" s="41"/>
      <c r="AK94" s="44">
        <f t="shared" si="2"/>
        <v>72.5</v>
      </c>
      <c r="AL94" s="45"/>
      <c r="AM94" s="45"/>
      <c r="AN94" s="44"/>
      <c r="AO94" s="46"/>
    </row>
    <row r="95" spans="1:41" ht="21" customHeight="1" x14ac:dyDescent="0.2">
      <c r="A95" s="34">
        <v>91</v>
      </c>
      <c r="B95" s="35" t="s">
        <v>291</v>
      </c>
      <c r="C95" s="36">
        <v>9866770</v>
      </c>
      <c r="D95" s="38" t="s">
        <v>63</v>
      </c>
      <c r="E95" s="37" t="s">
        <v>29</v>
      </c>
      <c r="F95" s="38" t="s">
        <v>201</v>
      </c>
      <c r="G95" s="38" t="s">
        <v>8</v>
      </c>
      <c r="H95" s="39">
        <v>42955</v>
      </c>
      <c r="I95" s="38" t="s">
        <v>22</v>
      </c>
      <c r="J95" s="40"/>
      <c r="K95" s="40"/>
      <c r="L95" s="40"/>
      <c r="M95" s="40"/>
      <c r="N95" s="40"/>
      <c r="O95" s="40"/>
      <c r="P95" s="40"/>
      <c r="Q95" s="40"/>
      <c r="R95" s="40">
        <v>11</v>
      </c>
      <c r="S95" s="40"/>
      <c r="T95" s="40"/>
      <c r="U95" s="40">
        <v>0</v>
      </c>
      <c r="V95" s="40">
        <v>0</v>
      </c>
      <c r="W95" s="41">
        <v>0</v>
      </c>
      <c r="X95" s="41">
        <v>7.5</v>
      </c>
      <c r="Y95" s="41">
        <v>0</v>
      </c>
      <c r="Z95" s="41">
        <v>0</v>
      </c>
      <c r="AA95" s="42">
        <v>160</v>
      </c>
      <c r="AB95" s="40">
        <f t="shared" si="3"/>
        <v>141.5</v>
      </c>
      <c r="AC95" s="43"/>
      <c r="AD95" s="41"/>
      <c r="AE95" s="41"/>
      <c r="AF95" s="41"/>
      <c r="AG95" s="41"/>
      <c r="AH95" s="41"/>
      <c r="AI95" s="41"/>
      <c r="AJ95" s="41"/>
      <c r="AK95" s="44">
        <f t="shared" si="2"/>
        <v>141.5</v>
      </c>
      <c r="AL95" s="45"/>
      <c r="AM95" s="45"/>
      <c r="AN95" s="44"/>
      <c r="AO95" s="46"/>
    </row>
    <row r="96" spans="1:41" ht="21" customHeight="1" x14ac:dyDescent="0.2">
      <c r="A96" s="34">
        <v>92</v>
      </c>
      <c r="B96" s="35" t="s">
        <v>292</v>
      </c>
      <c r="C96" s="36">
        <v>7530943</v>
      </c>
      <c r="D96" s="38" t="s">
        <v>63</v>
      </c>
      <c r="E96" s="37" t="s">
        <v>29</v>
      </c>
      <c r="F96" s="38" t="s">
        <v>17</v>
      </c>
      <c r="G96" s="38" t="s">
        <v>8</v>
      </c>
      <c r="H96" s="39">
        <v>33991</v>
      </c>
      <c r="I96" s="38" t="s">
        <v>22</v>
      </c>
      <c r="J96" s="40">
        <v>16</v>
      </c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>
        <v>0</v>
      </c>
      <c r="V96" s="40">
        <v>0</v>
      </c>
      <c r="W96" s="41">
        <v>15</v>
      </c>
      <c r="X96" s="41">
        <v>0</v>
      </c>
      <c r="Y96" s="41">
        <v>0</v>
      </c>
      <c r="Z96" s="41">
        <v>0</v>
      </c>
      <c r="AA96" s="42">
        <v>160</v>
      </c>
      <c r="AB96" s="40">
        <f t="shared" si="3"/>
        <v>129</v>
      </c>
      <c r="AC96" s="43"/>
      <c r="AD96" s="41"/>
      <c r="AE96" s="41"/>
      <c r="AF96" s="41"/>
      <c r="AG96" s="41"/>
      <c r="AH96" s="41"/>
      <c r="AI96" s="41"/>
      <c r="AJ96" s="41"/>
      <c r="AK96" s="44">
        <f t="shared" si="2"/>
        <v>129</v>
      </c>
      <c r="AL96" s="45"/>
      <c r="AM96" s="45"/>
      <c r="AN96" s="44"/>
      <c r="AO96" s="46"/>
    </row>
    <row r="97" spans="1:41" ht="21" customHeight="1" x14ac:dyDescent="0.2">
      <c r="A97" s="34">
        <v>93</v>
      </c>
      <c r="B97" s="35" t="s">
        <v>293</v>
      </c>
      <c r="C97" s="36">
        <v>7555284</v>
      </c>
      <c r="D97" s="38" t="s">
        <v>63</v>
      </c>
      <c r="E97" s="37" t="s">
        <v>29</v>
      </c>
      <c r="F97" s="38" t="s">
        <v>17</v>
      </c>
      <c r="G97" s="38" t="s">
        <v>8</v>
      </c>
      <c r="H97" s="39">
        <v>40203</v>
      </c>
      <c r="I97" s="38" t="s">
        <v>22</v>
      </c>
      <c r="J97" s="40"/>
      <c r="K97" s="40"/>
      <c r="L97" s="40">
        <v>5.2</v>
      </c>
      <c r="M97" s="40"/>
      <c r="N97" s="40"/>
      <c r="O97" s="40"/>
      <c r="P97" s="40"/>
      <c r="Q97" s="40">
        <v>1.5</v>
      </c>
      <c r="R97" s="40"/>
      <c r="S97" s="40">
        <v>3</v>
      </c>
      <c r="T97" s="40"/>
      <c r="U97" s="40">
        <v>0</v>
      </c>
      <c r="V97" s="40">
        <v>27.3</v>
      </c>
      <c r="W97" s="41">
        <v>0</v>
      </c>
      <c r="X97" s="41">
        <v>0</v>
      </c>
      <c r="Y97" s="41">
        <v>0</v>
      </c>
      <c r="Z97" s="41">
        <v>0</v>
      </c>
      <c r="AA97" s="42">
        <v>160</v>
      </c>
      <c r="AB97" s="40">
        <f t="shared" si="3"/>
        <v>123</v>
      </c>
      <c r="AC97" s="43"/>
      <c r="AD97" s="41"/>
      <c r="AE97" s="41"/>
      <c r="AF97" s="41"/>
      <c r="AG97" s="41"/>
      <c r="AH97" s="41"/>
      <c r="AI97" s="41"/>
      <c r="AJ97" s="41"/>
      <c r="AK97" s="44">
        <f t="shared" si="2"/>
        <v>123</v>
      </c>
      <c r="AL97" s="45"/>
      <c r="AM97" s="45"/>
      <c r="AN97" s="44"/>
      <c r="AO97" s="46"/>
    </row>
    <row r="98" spans="1:41" ht="21" customHeight="1" x14ac:dyDescent="0.2">
      <c r="A98" s="34">
        <v>94</v>
      </c>
      <c r="B98" s="35" t="s">
        <v>294</v>
      </c>
      <c r="C98" s="36">
        <v>89006026</v>
      </c>
      <c r="D98" s="38" t="s">
        <v>63</v>
      </c>
      <c r="E98" s="37" t="s">
        <v>29</v>
      </c>
      <c r="F98" s="38" t="s">
        <v>17</v>
      </c>
      <c r="G98" s="38" t="s">
        <v>8</v>
      </c>
      <c r="H98" s="39">
        <v>39142</v>
      </c>
      <c r="I98" s="38" t="s">
        <v>10</v>
      </c>
      <c r="J98" s="40">
        <v>6</v>
      </c>
      <c r="K98" s="40">
        <v>3</v>
      </c>
      <c r="L98" s="40">
        <v>14.2</v>
      </c>
      <c r="M98" s="40">
        <v>3</v>
      </c>
      <c r="N98" s="40">
        <v>8.9</v>
      </c>
      <c r="O98" s="40"/>
      <c r="P98" s="40"/>
      <c r="Q98" s="40">
        <v>4</v>
      </c>
      <c r="R98" s="40"/>
      <c r="S98" s="40">
        <v>12</v>
      </c>
      <c r="T98" s="40"/>
      <c r="U98" s="40">
        <v>0</v>
      </c>
      <c r="V98" s="40">
        <v>0</v>
      </c>
      <c r="W98" s="41">
        <v>0</v>
      </c>
      <c r="X98" s="41">
        <v>0</v>
      </c>
      <c r="Y98" s="41">
        <v>6</v>
      </c>
      <c r="Z98" s="41">
        <v>0</v>
      </c>
      <c r="AA98" s="42">
        <v>320</v>
      </c>
      <c r="AB98" s="40">
        <f t="shared" si="3"/>
        <v>262.89999999999998</v>
      </c>
      <c r="AC98" s="43"/>
      <c r="AD98" s="41"/>
      <c r="AE98" s="41"/>
      <c r="AF98" s="41"/>
      <c r="AG98" s="41"/>
      <c r="AH98" s="41"/>
      <c r="AI98" s="41"/>
      <c r="AJ98" s="41"/>
      <c r="AK98" s="44">
        <f t="shared" si="2"/>
        <v>262.89999999999998</v>
      </c>
      <c r="AL98" s="45"/>
      <c r="AM98" s="45"/>
      <c r="AN98" s="44"/>
      <c r="AO98" s="46"/>
    </row>
    <row r="99" spans="1:41" ht="21" customHeight="1" x14ac:dyDescent="0.2">
      <c r="A99" s="34">
        <v>95</v>
      </c>
      <c r="B99" s="35" t="s">
        <v>295</v>
      </c>
      <c r="C99" s="36">
        <v>34554225</v>
      </c>
      <c r="D99" s="38" t="s">
        <v>63</v>
      </c>
      <c r="E99" s="37" t="s">
        <v>29</v>
      </c>
      <c r="F99" s="38" t="s">
        <v>17</v>
      </c>
      <c r="G99" s="38" t="s">
        <v>8</v>
      </c>
      <c r="H99" s="39">
        <v>38376</v>
      </c>
      <c r="I99" s="38" t="s">
        <v>62</v>
      </c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>
        <v>0</v>
      </c>
      <c r="V99" s="40">
        <v>0</v>
      </c>
      <c r="W99" s="41">
        <v>0</v>
      </c>
      <c r="X99" s="41">
        <v>0</v>
      </c>
      <c r="Y99" s="41">
        <v>0</v>
      </c>
      <c r="Z99" s="41">
        <v>0</v>
      </c>
      <c r="AA99" s="42">
        <v>80</v>
      </c>
      <c r="AB99" s="40">
        <f t="shared" si="3"/>
        <v>80</v>
      </c>
      <c r="AC99" s="43"/>
      <c r="AD99" s="41"/>
      <c r="AE99" s="41"/>
      <c r="AF99" s="41"/>
      <c r="AG99" s="41"/>
      <c r="AH99" s="41"/>
      <c r="AI99" s="41"/>
      <c r="AJ99" s="41"/>
      <c r="AK99" s="44">
        <f t="shared" si="2"/>
        <v>80</v>
      </c>
      <c r="AL99" s="45"/>
      <c r="AM99" s="45"/>
      <c r="AN99" s="44"/>
      <c r="AO99" s="46"/>
    </row>
    <row r="100" spans="1:41" ht="21" customHeight="1" x14ac:dyDescent="0.2">
      <c r="A100" s="34">
        <v>96</v>
      </c>
      <c r="B100" s="35" t="s">
        <v>296</v>
      </c>
      <c r="C100" s="36">
        <v>7556767</v>
      </c>
      <c r="D100" s="38" t="s">
        <v>63</v>
      </c>
      <c r="E100" s="37" t="s">
        <v>29</v>
      </c>
      <c r="F100" s="38" t="s">
        <v>21</v>
      </c>
      <c r="G100" s="38" t="s">
        <v>8</v>
      </c>
      <c r="H100" s="39">
        <v>35828</v>
      </c>
      <c r="I100" s="38" t="s">
        <v>22</v>
      </c>
      <c r="J100" s="40">
        <v>2.5</v>
      </c>
      <c r="K100" s="40"/>
      <c r="L100" s="40">
        <v>12</v>
      </c>
      <c r="M100" s="40"/>
      <c r="N100" s="40"/>
      <c r="O100" s="40"/>
      <c r="P100" s="40">
        <v>14.5</v>
      </c>
      <c r="Q100" s="40">
        <v>8.3000000000000007</v>
      </c>
      <c r="R100" s="40">
        <v>0.6</v>
      </c>
      <c r="S100" s="40"/>
      <c r="T100" s="40"/>
      <c r="U100" s="40">
        <v>0</v>
      </c>
      <c r="V100" s="40">
        <v>0</v>
      </c>
      <c r="W100" s="41">
        <v>0</v>
      </c>
      <c r="X100" s="41">
        <v>0</v>
      </c>
      <c r="Y100" s="41">
        <v>0</v>
      </c>
      <c r="Z100" s="41">
        <v>0</v>
      </c>
      <c r="AA100" s="42">
        <v>160</v>
      </c>
      <c r="AB100" s="40">
        <f t="shared" si="3"/>
        <v>122.1</v>
      </c>
      <c r="AC100" s="43"/>
      <c r="AD100" s="41"/>
      <c r="AE100" s="41"/>
      <c r="AF100" s="41"/>
      <c r="AG100" s="41"/>
      <c r="AH100" s="41"/>
      <c r="AI100" s="41"/>
      <c r="AJ100" s="41"/>
      <c r="AK100" s="44">
        <f t="shared" si="2"/>
        <v>122.1</v>
      </c>
      <c r="AL100" s="45"/>
      <c r="AM100" s="45"/>
      <c r="AN100" s="44"/>
      <c r="AO100" s="46"/>
    </row>
    <row r="101" spans="1:41" ht="21" customHeight="1" x14ac:dyDescent="0.2">
      <c r="A101" s="34">
        <v>97</v>
      </c>
      <c r="B101" s="35" t="s">
        <v>297</v>
      </c>
      <c r="C101" s="36">
        <v>7548119</v>
      </c>
      <c r="D101" s="38" t="s">
        <v>63</v>
      </c>
      <c r="E101" s="37" t="s">
        <v>29</v>
      </c>
      <c r="F101" s="38" t="s">
        <v>21</v>
      </c>
      <c r="G101" s="38" t="s">
        <v>8</v>
      </c>
      <c r="H101" s="39">
        <v>35828</v>
      </c>
      <c r="I101" s="38" t="s">
        <v>298</v>
      </c>
      <c r="J101" s="40">
        <v>8.8000000000000007</v>
      </c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>
        <v>12</v>
      </c>
      <c r="V101" s="40">
        <v>0</v>
      </c>
      <c r="W101" s="41">
        <v>0</v>
      </c>
      <c r="X101" s="41">
        <v>0</v>
      </c>
      <c r="Y101" s="41">
        <v>0</v>
      </c>
      <c r="Z101" s="41">
        <v>14.2</v>
      </c>
      <c r="AA101" s="42">
        <v>160</v>
      </c>
      <c r="AB101" s="40">
        <f t="shared" si="3"/>
        <v>125</v>
      </c>
      <c r="AC101" s="43"/>
      <c r="AD101" s="41"/>
      <c r="AE101" s="41"/>
      <c r="AF101" s="41"/>
      <c r="AG101" s="41"/>
      <c r="AH101" s="41"/>
      <c r="AI101" s="41"/>
      <c r="AJ101" s="41"/>
      <c r="AK101" s="44">
        <f t="shared" si="2"/>
        <v>125</v>
      </c>
      <c r="AL101" s="45"/>
      <c r="AM101" s="45"/>
      <c r="AN101" s="44"/>
      <c r="AO101" s="46"/>
    </row>
    <row r="102" spans="1:41" s="169" customFormat="1" ht="21" customHeight="1" x14ac:dyDescent="0.2">
      <c r="A102" s="34">
        <v>98</v>
      </c>
      <c r="B102" s="107" t="s">
        <v>299</v>
      </c>
      <c r="C102" s="36">
        <v>89001775</v>
      </c>
      <c r="D102" s="38" t="s">
        <v>63</v>
      </c>
      <c r="E102" s="37" t="s">
        <v>29</v>
      </c>
      <c r="F102" s="38" t="s">
        <v>17</v>
      </c>
      <c r="G102" s="38" t="s">
        <v>8</v>
      </c>
      <c r="H102" s="39">
        <v>40947</v>
      </c>
      <c r="I102" s="38" t="s">
        <v>11</v>
      </c>
      <c r="J102" s="40"/>
      <c r="K102" s="40"/>
      <c r="L102" s="40"/>
      <c r="M102" s="40">
        <v>25.4</v>
      </c>
      <c r="N102" s="40"/>
      <c r="O102" s="40"/>
      <c r="P102" s="40">
        <v>14.5</v>
      </c>
      <c r="Q102" s="40">
        <v>23.3</v>
      </c>
      <c r="R102" s="40">
        <v>12.5</v>
      </c>
      <c r="S102" s="40"/>
      <c r="T102" s="40"/>
      <c r="U102" s="40">
        <v>0</v>
      </c>
      <c r="V102" s="40">
        <v>0</v>
      </c>
      <c r="W102" s="41">
        <v>0</v>
      </c>
      <c r="X102" s="41">
        <v>0</v>
      </c>
      <c r="Y102" s="41">
        <v>0</v>
      </c>
      <c r="Z102" s="41">
        <v>0</v>
      </c>
      <c r="AA102" s="42">
        <v>540</v>
      </c>
      <c r="AB102" s="40">
        <f t="shared" si="3"/>
        <v>464.3</v>
      </c>
      <c r="AC102" s="43"/>
      <c r="AD102" s="41"/>
      <c r="AE102" s="41"/>
      <c r="AF102" s="41"/>
      <c r="AG102" s="41"/>
      <c r="AH102" s="41"/>
      <c r="AI102" s="41"/>
      <c r="AJ102" s="41"/>
      <c r="AK102" s="44">
        <f t="shared" si="2"/>
        <v>464.3</v>
      </c>
      <c r="AL102" s="45"/>
      <c r="AM102" s="45"/>
      <c r="AN102" s="44"/>
      <c r="AO102" s="46"/>
    </row>
    <row r="103" spans="1:41" ht="38.25" x14ac:dyDescent="0.2">
      <c r="A103" s="34">
        <v>99</v>
      </c>
      <c r="B103" s="54" t="s">
        <v>300</v>
      </c>
      <c r="C103" s="55">
        <v>18416179</v>
      </c>
      <c r="D103" s="57" t="s">
        <v>63</v>
      </c>
      <c r="E103" s="56" t="s">
        <v>29</v>
      </c>
      <c r="F103" s="57" t="s">
        <v>17</v>
      </c>
      <c r="G103" s="57" t="s">
        <v>8</v>
      </c>
      <c r="H103" s="58">
        <v>39161</v>
      </c>
      <c r="I103" s="57" t="s">
        <v>10</v>
      </c>
      <c r="J103" s="59">
        <v>11.9</v>
      </c>
      <c r="K103" s="59"/>
      <c r="L103" s="59"/>
      <c r="M103" s="59"/>
      <c r="N103" s="59"/>
      <c r="O103" s="59"/>
      <c r="P103" s="59"/>
      <c r="Q103" s="59"/>
      <c r="R103" s="59"/>
      <c r="S103" s="59"/>
      <c r="T103" s="108">
        <v>14.6</v>
      </c>
      <c r="U103" s="59">
        <v>0</v>
      </c>
      <c r="V103" s="59">
        <v>0</v>
      </c>
      <c r="W103" s="60">
        <v>0</v>
      </c>
      <c r="X103" s="60">
        <v>8</v>
      </c>
      <c r="Y103" s="60">
        <v>0</v>
      </c>
      <c r="Z103" s="60">
        <v>0</v>
      </c>
      <c r="AA103" s="61">
        <v>320</v>
      </c>
      <c r="AB103" s="59">
        <f t="shared" si="3"/>
        <v>285.5</v>
      </c>
      <c r="AC103" s="62"/>
      <c r="AD103" s="109"/>
      <c r="AE103" s="60"/>
      <c r="AF103" s="60"/>
      <c r="AG103" s="60"/>
      <c r="AH103" s="60"/>
      <c r="AI103" s="60"/>
      <c r="AJ103" s="60"/>
      <c r="AK103" s="63">
        <f t="shared" si="2"/>
        <v>285.5</v>
      </c>
      <c r="AL103" s="103"/>
      <c r="AM103" s="103"/>
      <c r="AN103" s="110" t="s">
        <v>301</v>
      </c>
      <c r="AO103" s="68" t="s">
        <v>302</v>
      </c>
    </row>
    <row r="104" spans="1:41" ht="25.5" x14ac:dyDescent="0.2">
      <c r="A104" s="34">
        <v>100</v>
      </c>
      <c r="B104" s="54" t="s">
        <v>303</v>
      </c>
      <c r="C104" s="55">
        <v>7503647</v>
      </c>
      <c r="D104" s="57" t="s">
        <v>63</v>
      </c>
      <c r="E104" s="56" t="s">
        <v>29</v>
      </c>
      <c r="F104" s="57" t="s">
        <v>17</v>
      </c>
      <c r="G104" s="57" t="s">
        <v>8</v>
      </c>
      <c r="H104" s="58">
        <v>28185</v>
      </c>
      <c r="I104" s="57" t="s">
        <v>11</v>
      </c>
      <c r="J104" s="59">
        <v>47.5</v>
      </c>
      <c r="K104" s="59"/>
      <c r="L104" s="59"/>
      <c r="M104" s="59"/>
      <c r="N104" s="59"/>
      <c r="O104" s="59"/>
      <c r="P104" s="59"/>
      <c r="Q104" s="59"/>
      <c r="R104" s="59"/>
      <c r="S104" s="59"/>
      <c r="T104" s="59"/>
      <c r="U104" s="59">
        <v>0</v>
      </c>
      <c r="V104" s="59">
        <v>0</v>
      </c>
      <c r="W104" s="60">
        <v>0</v>
      </c>
      <c r="X104" s="60">
        <v>0</v>
      </c>
      <c r="Y104" s="60">
        <v>0</v>
      </c>
      <c r="Z104" s="60">
        <v>0</v>
      </c>
      <c r="AA104" s="61">
        <v>540</v>
      </c>
      <c r="AB104" s="59">
        <f t="shared" si="3"/>
        <v>492.5</v>
      </c>
      <c r="AC104" s="62"/>
      <c r="AD104" s="60"/>
      <c r="AE104" s="60"/>
      <c r="AF104" s="60"/>
      <c r="AG104" s="60"/>
      <c r="AH104" s="60"/>
      <c r="AI104" s="60"/>
      <c r="AJ104" s="60"/>
      <c r="AK104" s="63">
        <f t="shared" si="2"/>
        <v>492.5</v>
      </c>
      <c r="AL104" s="64"/>
      <c r="AM104" s="64"/>
      <c r="AN104" s="63"/>
      <c r="AO104" s="68" t="s">
        <v>304</v>
      </c>
    </row>
    <row r="105" spans="1:41" ht="21" customHeight="1" x14ac:dyDescent="0.2">
      <c r="A105" s="34">
        <v>101</v>
      </c>
      <c r="B105" s="35" t="s">
        <v>305</v>
      </c>
      <c r="C105" s="36">
        <v>79851951</v>
      </c>
      <c r="D105" s="111" t="s">
        <v>63</v>
      </c>
      <c r="E105" s="37" t="s">
        <v>29</v>
      </c>
      <c r="F105" s="38" t="s">
        <v>17</v>
      </c>
      <c r="G105" s="38" t="s">
        <v>8</v>
      </c>
      <c r="H105" s="39">
        <v>41963</v>
      </c>
      <c r="I105" s="38" t="s">
        <v>10</v>
      </c>
      <c r="J105" s="40"/>
      <c r="K105" s="40"/>
      <c r="L105" s="40"/>
      <c r="M105" s="40"/>
      <c r="N105" s="40"/>
      <c r="O105" s="40">
        <v>3</v>
      </c>
      <c r="P105" s="40"/>
      <c r="Q105" s="40"/>
      <c r="R105" s="40"/>
      <c r="S105" s="40"/>
      <c r="T105" s="40">
        <v>7.5</v>
      </c>
      <c r="U105" s="40">
        <v>12</v>
      </c>
      <c r="V105" s="40">
        <v>0</v>
      </c>
      <c r="W105" s="41">
        <v>0</v>
      </c>
      <c r="X105" s="41">
        <v>0</v>
      </c>
      <c r="Y105" s="41">
        <v>27.5</v>
      </c>
      <c r="Z105" s="41">
        <v>27.799999999999997</v>
      </c>
      <c r="AA105" s="42">
        <v>320</v>
      </c>
      <c r="AB105" s="40">
        <f t="shared" si="3"/>
        <v>242.2</v>
      </c>
      <c r="AC105" s="43"/>
      <c r="AD105" s="41"/>
      <c r="AE105" s="41"/>
      <c r="AF105" s="41"/>
      <c r="AG105" s="41"/>
      <c r="AH105" s="41"/>
      <c r="AI105" s="41"/>
      <c r="AJ105" s="41"/>
      <c r="AK105" s="44">
        <f t="shared" si="2"/>
        <v>242.2</v>
      </c>
      <c r="AL105" s="45"/>
      <c r="AM105" s="45"/>
      <c r="AN105" s="44"/>
      <c r="AO105" s="112"/>
    </row>
    <row r="106" spans="1:41" ht="25.5" x14ac:dyDescent="0.2">
      <c r="A106" s="34">
        <v>102</v>
      </c>
      <c r="B106" s="54" t="s">
        <v>306</v>
      </c>
      <c r="C106" s="98">
        <v>30397494</v>
      </c>
      <c r="D106" s="57" t="s">
        <v>63</v>
      </c>
      <c r="E106" s="56" t="s">
        <v>29</v>
      </c>
      <c r="F106" s="57" t="s">
        <v>17</v>
      </c>
      <c r="G106" s="57" t="s">
        <v>8</v>
      </c>
      <c r="H106" s="58">
        <v>42955</v>
      </c>
      <c r="I106" s="57" t="s">
        <v>22</v>
      </c>
      <c r="J106" s="59"/>
      <c r="K106" s="59"/>
      <c r="L106" s="59"/>
      <c r="M106" s="59"/>
      <c r="N106" s="59"/>
      <c r="O106" s="59"/>
      <c r="P106" s="59"/>
      <c r="Q106" s="59"/>
      <c r="R106" s="59"/>
      <c r="S106" s="59"/>
      <c r="T106" s="59">
        <v>28.8</v>
      </c>
      <c r="U106" s="59">
        <v>0</v>
      </c>
      <c r="V106" s="59">
        <v>0</v>
      </c>
      <c r="W106" s="60">
        <v>0</v>
      </c>
      <c r="X106" s="60">
        <v>0</v>
      </c>
      <c r="Y106" s="60">
        <v>0</v>
      </c>
      <c r="Z106" s="60">
        <v>0</v>
      </c>
      <c r="AA106" s="61">
        <v>160</v>
      </c>
      <c r="AB106" s="59">
        <f t="shared" si="3"/>
        <v>131.19999999999999</v>
      </c>
      <c r="AC106" s="62"/>
      <c r="AD106" s="60"/>
      <c r="AE106" s="60"/>
      <c r="AF106" s="60"/>
      <c r="AG106" s="60"/>
      <c r="AH106" s="60"/>
      <c r="AI106" s="60"/>
      <c r="AJ106" s="60"/>
      <c r="AK106" s="63">
        <f t="shared" si="2"/>
        <v>131.19999999999999</v>
      </c>
      <c r="AL106" s="64"/>
      <c r="AM106" s="64"/>
      <c r="AN106" s="63"/>
      <c r="AO106" s="68" t="s">
        <v>307</v>
      </c>
    </row>
    <row r="107" spans="1:41" ht="21" customHeight="1" x14ac:dyDescent="0.2">
      <c r="A107" s="34">
        <v>103</v>
      </c>
      <c r="B107" s="35" t="s">
        <v>308</v>
      </c>
      <c r="C107" s="36">
        <v>43876871</v>
      </c>
      <c r="D107" s="38" t="s">
        <v>309</v>
      </c>
      <c r="E107" s="37" t="s">
        <v>310</v>
      </c>
      <c r="F107" s="38" t="s">
        <v>311</v>
      </c>
      <c r="G107" s="38" t="s">
        <v>8</v>
      </c>
      <c r="H107" s="39">
        <v>41963</v>
      </c>
      <c r="I107" s="38" t="s">
        <v>10</v>
      </c>
      <c r="J107" s="40"/>
      <c r="K107" s="40"/>
      <c r="L107" s="40"/>
      <c r="M107" s="40"/>
      <c r="N107" s="40"/>
      <c r="O107" s="40">
        <v>52.5</v>
      </c>
      <c r="P107" s="40">
        <v>15</v>
      </c>
      <c r="Q107" s="40">
        <v>6.1</v>
      </c>
      <c r="R107" s="40">
        <v>52.5</v>
      </c>
      <c r="S107" s="40"/>
      <c r="T107" s="40"/>
      <c r="U107" s="40">
        <v>8</v>
      </c>
      <c r="V107" s="40">
        <v>15.5</v>
      </c>
      <c r="W107" s="41">
        <v>15</v>
      </c>
      <c r="X107" s="41">
        <v>12.5</v>
      </c>
      <c r="Y107" s="41">
        <v>34</v>
      </c>
      <c r="Z107" s="41">
        <v>22.5</v>
      </c>
      <c r="AA107" s="42">
        <v>320</v>
      </c>
      <c r="AB107" s="40">
        <f t="shared" si="3"/>
        <v>86.4</v>
      </c>
      <c r="AC107" s="43"/>
      <c r="AD107" s="41"/>
      <c r="AE107" s="43"/>
      <c r="AF107" s="80"/>
      <c r="AG107" s="41"/>
      <c r="AH107" s="41"/>
      <c r="AI107" s="41"/>
      <c r="AJ107" s="41"/>
      <c r="AK107" s="44">
        <f t="shared" si="2"/>
        <v>86.4</v>
      </c>
      <c r="AL107" s="81"/>
      <c r="AM107" s="81"/>
      <c r="AN107" s="82"/>
      <c r="AO107" s="113"/>
    </row>
    <row r="108" spans="1:41" ht="21" customHeight="1" x14ac:dyDescent="0.2">
      <c r="A108" s="34">
        <v>104</v>
      </c>
      <c r="B108" s="86" t="s">
        <v>312</v>
      </c>
      <c r="C108" s="87">
        <v>7559351</v>
      </c>
      <c r="D108" s="38" t="s">
        <v>309</v>
      </c>
      <c r="E108" s="89" t="s">
        <v>310</v>
      </c>
      <c r="F108" s="88" t="s">
        <v>201</v>
      </c>
      <c r="G108" s="88" t="s">
        <v>8</v>
      </c>
      <c r="H108" s="90">
        <v>40963</v>
      </c>
      <c r="I108" s="88" t="s">
        <v>11</v>
      </c>
      <c r="J108" s="91"/>
      <c r="K108" s="91"/>
      <c r="L108" s="91"/>
      <c r="M108" s="91">
        <v>20.2</v>
      </c>
      <c r="N108" s="91">
        <v>46</v>
      </c>
      <c r="O108" s="91">
        <v>26</v>
      </c>
      <c r="P108" s="91">
        <v>88.5</v>
      </c>
      <c r="Q108" s="91">
        <v>23</v>
      </c>
      <c r="R108" s="91">
        <v>116.3</v>
      </c>
      <c r="S108" s="91"/>
      <c r="T108" s="91"/>
      <c r="U108" s="91">
        <v>0</v>
      </c>
      <c r="V108" s="91">
        <v>13</v>
      </c>
      <c r="W108" s="41">
        <v>0</v>
      </c>
      <c r="X108" s="41">
        <v>0</v>
      </c>
      <c r="Y108" s="41">
        <v>44.4</v>
      </c>
      <c r="Z108" s="41">
        <v>31.5</v>
      </c>
      <c r="AA108" s="92">
        <v>540</v>
      </c>
      <c r="AB108" s="40">
        <f t="shared" si="3"/>
        <v>131.10000000000002</v>
      </c>
      <c r="AC108" s="43"/>
      <c r="AD108" s="93"/>
      <c r="AE108" s="93"/>
      <c r="AF108" s="93"/>
      <c r="AG108" s="93"/>
      <c r="AH108" s="93"/>
      <c r="AI108" s="93"/>
      <c r="AJ108" s="93"/>
      <c r="AK108" s="44">
        <f t="shared" si="2"/>
        <v>131.10000000000002</v>
      </c>
      <c r="AL108" s="65"/>
      <c r="AM108" s="65"/>
      <c r="AN108" s="78"/>
      <c r="AO108" s="73"/>
    </row>
    <row r="109" spans="1:41" ht="21" customHeight="1" x14ac:dyDescent="0.2">
      <c r="A109" s="34">
        <v>105</v>
      </c>
      <c r="B109" s="70" t="s">
        <v>313</v>
      </c>
      <c r="C109" s="71">
        <v>79326473</v>
      </c>
      <c r="D109" s="72" t="s">
        <v>309</v>
      </c>
      <c r="E109" s="73" t="s">
        <v>310</v>
      </c>
      <c r="F109" s="72" t="s">
        <v>21</v>
      </c>
      <c r="G109" s="72" t="s">
        <v>8</v>
      </c>
      <c r="H109" s="74">
        <v>41673</v>
      </c>
      <c r="I109" s="72" t="s">
        <v>10</v>
      </c>
      <c r="J109" s="75"/>
      <c r="K109" s="75"/>
      <c r="L109" s="75"/>
      <c r="M109" s="75"/>
      <c r="N109" s="75"/>
      <c r="O109" s="75"/>
      <c r="P109" s="75">
        <v>6</v>
      </c>
      <c r="Q109" s="75">
        <v>37.1</v>
      </c>
      <c r="R109" s="75">
        <v>96.9</v>
      </c>
      <c r="S109" s="75">
        <v>106.9</v>
      </c>
      <c r="T109" s="75">
        <v>26.3</v>
      </c>
      <c r="U109" s="75">
        <v>15.2</v>
      </c>
      <c r="V109" s="75">
        <v>8</v>
      </c>
      <c r="W109" s="76">
        <v>13.9</v>
      </c>
      <c r="X109" s="76">
        <v>0</v>
      </c>
      <c r="Y109" s="76">
        <v>7.5</v>
      </c>
      <c r="Z109" s="76">
        <v>0</v>
      </c>
      <c r="AA109" s="77">
        <v>320</v>
      </c>
      <c r="AB109" s="40">
        <f t="shared" si="3"/>
        <v>2.2000000000000455</v>
      </c>
      <c r="AC109" s="76"/>
      <c r="AD109" s="76"/>
      <c r="AE109" s="76"/>
      <c r="AF109" s="76"/>
      <c r="AG109" s="76"/>
      <c r="AH109" s="76"/>
      <c r="AI109" s="76"/>
      <c r="AJ109" s="76"/>
      <c r="AK109" s="78">
        <f t="shared" si="2"/>
        <v>2.2000000000000455</v>
      </c>
      <c r="AL109" s="65"/>
      <c r="AM109" s="65"/>
      <c r="AN109" s="78"/>
      <c r="AO109" s="79"/>
    </row>
    <row r="110" spans="1:41" ht="21" customHeight="1" x14ac:dyDescent="0.2">
      <c r="A110" s="34">
        <v>106</v>
      </c>
      <c r="B110" s="35" t="s">
        <v>314</v>
      </c>
      <c r="C110" s="36">
        <v>30394707</v>
      </c>
      <c r="D110" s="38" t="s">
        <v>309</v>
      </c>
      <c r="E110" s="37" t="s">
        <v>310</v>
      </c>
      <c r="F110" s="38" t="s">
        <v>201</v>
      </c>
      <c r="G110" s="38" t="s">
        <v>8</v>
      </c>
      <c r="H110" s="39">
        <v>41673</v>
      </c>
      <c r="I110" s="38" t="s">
        <v>10</v>
      </c>
      <c r="J110" s="40"/>
      <c r="K110" s="40"/>
      <c r="L110" s="40"/>
      <c r="M110" s="40"/>
      <c r="N110" s="40"/>
      <c r="O110" s="40">
        <v>52.2</v>
      </c>
      <c r="P110" s="40"/>
      <c r="Q110" s="40">
        <v>3.6</v>
      </c>
      <c r="R110" s="40">
        <v>57.6</v>
      </c>
      <c r="S110" s="40">
        <v>3</v>
      </c>
      <c r="T110" s="40"/>
      <c r="U110" s="40">
        <v>6</v>
      </c>
      <c r="V110" s="40">
        <v>0</v>
      </c>
      <c r="W110" s="41">
        <v>0</v>
      </c>
      <c r="X110" s="41">
        <v>0</v>
      </c>
      <c r="Y110" s="41">
        <v>22.5</v>
      </c>
      <c r="Z110" s="41">
        <v>0</v>
      </c>
      <c r="AA110" s="42">
        <v>320</v>
      </c>
      <c r="AB110" s="40">
        <f t="shared" si="3"/>
        <v>175.1</v>
      </c>
      <c r="AC110" s="43"/>
      <c r="AD110" s="43"/>
      <c r="AE110" s="43"/>
      <c r="AF110" s="43"/>
      <c r="AG110" s="43"/>
      <c r="AH110" s="43"/>
      <c r="AI110" s="43"/>
      <c r="AJ110" s="43"/>
      <c r="AK110" s="44">
        <f t="shared" si="2"/>
        <v>175.1</v>
      </c>
      <c r="AL110" s="45"/>
      <c r="AM110" s="45"/>
      <c r="AN110" s="44"/>
      <c r="AO110" s="46"/>
    </row>
    <row r="111" spans="1:41" ht="21" customHeight="1" x14ac:dyDescent="0.2">
      <c r="A111" s="34">
        <v>107</v>
      </c>
      <c r="B111" s="70" t="s">
        <v>315</v>
      </c>
      <c r="C111" s="71">
        <v>41721518</v>
      </c>
      <c r="D111" s="72" t="s">
        <v>309</v>
      </c>
      <c r="E111" s="73" t="s">
        <v>310</v>
      </c>
      <c r="F111" s="72" t="s">
        <v>201</v>
      </c>
      <c r="G111" s="72" t="s">
        <v>8</v>
      </c>
      <c r="H111" s="74">
        <v>31810</v>
      </c>
      <c r="I111" s="72" t="s">
        <v>10</v>
      </c>
      <c r="J111" s="75">
        <v>96</v>
      </c>
      <c r="K111" s="75"/>
      <c r="L111" s="75"/>
      <c r="M111" s="75"/>
      <c r="N111" s="75"/>
      <c r="O111" s="75">
        <v>78</v>
      </c>
      <c r="P111" s="75">
        <v>14.4</v>
      </c>
      <c r="Q111" s="75">
        <v>18</v>
      </c>
      <c r="R111" s="75">
        <v>19.5</v>
      </c>
      <c r="S111" s="75"/>
      <c r="T111" s="75">
        <v>37.700000000000003</v>
      </c>
      <c r="U111" s="75">
        <v>21.3</v>
      </c>
      <c r="V111" s="75">
        <v>29.7</v>
      </c>
      <c r="W111" s="76">
        <v>0</v>
      </c>
      <c r="X111" s="76">
        <v>0</v>
      </c>
      <c r="Y111" s="76">
        <v>5</v>
      </c>
      <c r="Z111" s="76">
        <v>0</v>
      </c>
      <c r="AA111" s="77">
        <v>320</v>
      </c>
      <c r="AB111" s="40">
        <f t="shared" si="3"/>
        <v>0.39999999999997726</v>
      </c>
      <c r="AC111" s="76"/>
      <c r="AD111" s="76"/>
      <c r="AE111" s="76"/>
      <c r="AF111" s="76"/>
      <c r="AG111" s="76"/>
      <c r="AH111" s="76"/>
      <c r="AI111" s="76"/>
      <c r="AJ111" s="76"/>
      <c r="AK111" s="78">
        <f t="shared" si="2"/>
        <v>0.39999999999997726</v>
      </c>
      <c r="AL111" s="65"/>
      <c r="AM111" s="65"/>
      <c r="AN111" s="78"/>
      <c r="AO111" s="79"/>
    </row>
    <row r="112" spans="1:41" ht="25.5" x14ac:dyDescent="0.2">
      <c r="A112" s="34">
        <v>108</v>
      </c>
      <c r="B112" s="54" t="s">
        <v>316</v>
      </c>
      <c r="C112" s="55">
        <v>9732960</v>
      </c>
      <c r="D112" s="57" t="s">
        <v>309</v>
      </c>
      <c r="E112" s="56" t="s">
        <v>310</v>
      </c>
      <c r="F112" s="57" t="s">
        <v>21</v>
      </c>
      <c r="G112" s="57" t="s">
        <v>8</v>
      </c>
      <c r="H112" s="58">
        <v>41872</v>
      </c>
      <c r="I112" s="57" t="s">
        <v>11</v>
      </c>
      <c r="J112" s="59"/>
      <c r="K112" s="59"/>
      <c r="L112" s="59"/>
      <c r="M112" s="59"/>
      <c r="N112" s="59"/>
      <c r="O112" s="59">
        <v>83.3</v>
      </c>
      <c r="P112" s="59">
        <v>11</v>
      </c>
      <c r="Q112" s="59">
        <v>26.1</v>
      </c>
      <c r="R112" s="59">
        <v>152.4</v>
      </c>
      <c r="S112" s="59">
        <v>12</v>
      </c>
      <c r="T112" s="59">
        <v>12</v>
      </c>
      <c r="U112" s="59">
        <v>12</v>
      </c>
      <c r="V112" s="59">
        <v>11.2</v>
      </c>
      <c r="W112" s="62">
        <v>0</v>
      </c>
      <c r="X112" s="62">
        <v>0</v>
      </c>
      <c r="Y112" s="62">
        <v>0</v>
      </c>
      <c r="Z112" s="62">
        <v>13.5</v>
      </c>
      <c r="AA112" s="61">
        <v>540</v>
      </c>
      <c r="AB112" s="59">
        <f t="shared" si="3"/>
        <v>206.5</v>
      </c>
      <c r="AC112" s="62"/>
      <c r="AD112" s="62"/>
      <c r="AE112" s="62"/>
      <c r="AF112" s="62"/>
      <c r="AG112" s="62"/>
      <c r="AH112" s="62"/>
      <c r="AI112" s="62"/>
      <c r="AJ112" s="62"/>
      <c r="AK112" s="63">
        <f t="shared" si="2"/>
        <v>206.5</v>
      </c>
      <c r="AL112" s="64"/>
      <c r="AM112" s="64"/>
      <c r="AN112" s="67" t="s">
        <v>317</v>
      </c>
      <c r="AO112" s="68" t="s">
        <v>318</v>
      </c>
    </row>
    <row r="113" spans="1:41" ht="21" customHeight="1" x14ac:dyDescent="0.2">
      <c r="A113" s="34">
        <v>109</v>
      </c>
      <c r="B113" s="35" t="s">
        <v>319</v>
      </c>
      <c r="C113" s="36">
        <v>41922558</v>
      </c>
      <c r="D113" s="38" t="s">
        <v>309</v>
      </c>
      <c r="E113" s="37" t="s">
        <v>310</v>
      </c>
      <c r="F113" s="38" t="s">
        <v>201</v>
      </c>
      <c r="G113" s="38" t="s">
        <v>8</v>
      </c>
      <c r="H113" s="39">
        <v>40203</v>
      </c>
      <c r="I113" s="38" t="s">
        <v>11</v>
      </c>
      <c r="J113" s="40"/>
      <c r="K113" s="40">
        <v>3.3</v>
      </c>
      <c r="L113" s="40">
        <v>3</v>
      </c>
      <c r="M113" s="40">
        <v>9</v>
      </c>
      <c r="N113" s="40"/>
      <c r="O113" s="40"/>
      <c r="P113" s="40">
        <v>55.1</v>
      </c>
      <c r="Q113" s="40">
        <v>25</v>
      </c>
      <c r="R113" s="40">
        <v>99.3</v>
      </c>
      <c r="S113" s="40">
        <v>14.8</v>
      </c>
      <c r="T113" s="40">
        <v>81.5</v>
      </c>
      <c r="U113" s="40">
        <v>40</v>
      </c>
      <c r="V113" s="40">
        <v>0</v>
      </c>
      <c r="W113" s="41">
        <v>45</v>
      </c>
      <c r="X113" s="41">
        <v>0</v>
      </c>
      <c r="Y113" s="41">
        <v>7.5</v>
      </c>
      <c r="Z113" s="41">
        <v>30</v>
      </c>
      <c r="AA113" s="42">
        <v>540</v>
      </c>
      <c r="AB113" s="40">
        <f t="shared" si="3"/>
        <v>126.5</v>
      </c>
      <c r="AC113" s="43"/>
      <c r="AD113" s="43"/>
      <c r="AE113" s="43"/>
      <c r="AF113" s="43"/>
      <c r="AG113" s="43"/>
      <c r="AH113" s="43"/>
      <c r="AI113" s="43"/>
      <c r="AJ113" s="43"/>
      <c r="AK113" s="44">
        <f t="shared" si="2"/>
        <v>126.5</v>
      </c>
      <c r="AL113" s="45"/>
      <c r="AM113" s="45"/>
      <c r="AN113" s="44"/>
      <c r="AO113" s="46"/>
    </row>
    <row r="114" spans="1:41" ht="25.5" x14ac:dyDescent="0.2">
      <c r="A114" s="34">
        <v>110</v>
      </c>
      <c r="B114" s="70" t="s">
        <v>320</v>
      </c>
      <c r="C114" s="71">
        <v>94286282</v>
      </c>
      <c r="D114" s="73" t="s">
        <v>75</v>
      </c>
      <c r="E114" s="73" t="s">
        <v>29</v>
      </c>
      <c r="F114" s="73" t="s">
        <v>21</v>
      </c>
      <c r="G114" s="72" t="s">
        <v>8</v>
      </c>
      <c r="H114" s="74">
        <v>40203</v>
      </c>
      <c r="I114" s="72" t="s">
        <v>10</v>
      </c>
      <c r="J114" s="75"/>
      <c r="K114" s="75"/>
      <c r="L114" s="75">
        <v>58.5</v>
      </c>
      <c r="M114" s="75">
        <v>20.7</v>
      </c>
      <c r="N114" s="75">
        <v>20.3</v>
      </c>
      <c r="O114" s="75">
        <v>26.8</v>
      </c>
      <c r="P114" s="75">
        <v>33.700000000000003</v>
      </c>
      <c r="Q114" s="75">
        <v>84.6</v>
      </c>
      <c r="R114" s="75">
        <v>75.400000000000006</v>
      </c>
      <c r="S114" s="75"/>
      <c r="T114" s="75"/>
      <c r="U114" s="75">
        <v>0</v>
      </c>
      <c r="V114" s="75">
        <v>0</v>
      </c>
      <c r="W114" s="41">
        <v>0</v>
      </c>
      <c r="X114" s="41">
        <v>0</v>
      </c>
      <c r="Y114" s="41">
        <v>0</v>
      </c>
      <c r="Z114" s="41">
        <v>0</v>
      </c>
      <c r="AA114" s="77">
        <v>320</v>
      </c>
      <c r="AB114" s="40">
        <f t="shared" si="3"/>
        <v>0</v>
      </c>
      <c r="AC114" s="76"/>
      <c r="AD114" s="76"/>
      <c r="AE114" s="76"/>
      <c r="AF114" s="76"/>
      <c r="AG114" s="76"/>
      <c r="AH114" s="76"/>
      <c r="AI114" s="76"/>
      <c r="AJ114" s="76"/>
      <c r="AK114" s="78">
        <f t="shared" si="2"/>
        <v>0</v>
      </c>
      <c r="AL114" s="65"/>
      <c r="AM114" s="65"/>
      <c r="AN114" s="78"/>
      <c r="AO114" s="73"/>
    </row>
    <row r="115" spans="1:41" ht="25.5" x14ac:dyDescent="0.2">
      <c r="A115" s="34">
        <v>111</v>
      </c>
      <c r="B115" s="70" t="s">
        <v>321</v>
      </c>
      <c r="C115" s="71">
        <v>89004671</v>
      </c>
      <c r="D115" s="73" t="s">
        <v>75</v>
      </c>
      <c r="E115" s="73" t="s">
        <v>29</v>
      </c>
      <c r="F115" s="73" t="s">
        <v>201</v>
      </c>
      <c r="G115" s="72" t="s">
        <v>8</v>
      </c>
      <c r="H115" s="74">
        <v>38985</v>
      </c>
      <c r="I115" s="72" t="s">
        <v>11</v>
      </c>
      <c r="J115" s="40">
        <v>107</v>
      </c>
      <c r="K115" s="40"/>
      <c r="L115" s="40"/>
      <c r="M115" s="40">
        <v>57.5</v>
      </c>
      <c r="N115" s="40"/>
      <c r="O115" s="40"/>
      <c r="P115" s="40">
        <v>14.6</v>
      </c>
      <c r="Q115" s="40">
        <v>37.5</v>
      </c>
      <c r="R115" s="40">
        <v>20</v>
      </c>
      <c r="S115" s="40">
        <v>51</v>
      </c>
      <c r="T115" s="40">
        <v>110.4</v>
      </c>
      <c r="U115" s="40">
        <v>57.300000000000004</v>
      </c>
      <c r="V115" s="40">
        <v>36.700000000000003</v>
      </c>
      <c r="W115" s="41">
        <v>0</v>
      </c>
      <c r="X115" s="41">
        <v>12</v>
      </c>
      <c r="Y115" s="76">
        <v>0</v>
      </c>
      <c r="Z115" s="76">
        <v>31.5</v>
      </c>
      <c r="AA115" s="77">
        <v>540</v>
      </c>
      <c r="AB115" s="75">
        <f t="shared" si="3"/>
        <v>4.5</v>
      </c>
      <c r="AC115" s="76">
        <v>4.5</v>
      </c>
      <c r="AD115" s="76"/>
      <c r="AE115" s="76"/>
      <c r="AF115" s="76"/>
      <c r="AG115" s="41"/>
      <c r="AH115" s="76"/>
      <c r="AI115" s="76"/>
      <c r="AJ115" s="76"/>
      <c r="AK115" s="78">
        <f t="shared" si="2"/>
        <v>0</v>
      </c>
      <c r="AL115" s="65"/>
      <c r="AM115" s="65"/>
      <c r="AN115" s="44"/>
      <c r="AO115" s="37"/>
    </row>
    <row r="116" spans="1:41" ht="25.5" x14ac:dyDescent="0.2">
      <c r="A116" s="34">
        <v>112</v>
      </c>
      <c r="B116" s="35" t="s">
        <v>322</v>
      </c>
      <c r="C116" s="36">
        <v>7561086</v>
      </c>
      <c r="D116" s="37" t="s">
        <v>75</v>
      </c>
      <c r="E116" s="37" t="s">
        <v>29</v>
      </c>
      <c r="F116" s="37" t="s">
        <v>201</v>
      </c>
      <c r="G116" s="38" t="s">
        <v>8</v>
      </c>
      <c r="H116" s="39">
        <v>38551</v>
      </c>
      <c r="I116" s="38" t="s">
        <v>11</v>
      </c>
      <c r="J116" s="40">
        <v>23.4</v>
      </c>
      <c r="K116" s="40"/>
      <c r="L116" s="40"/>
      <c r="M116" s="40"/>
      <c r="N116" s="40"/>
      <c r="O116" s="40"/>
      <c r="P116" s="40"/>
      <c r="Q116" s="40"/>
      <c r="R116" s="40">
        <v>15</v>
      </c>
      <c r="S116" s="40">
        <v>68.099999999999994</v>
      </c>
      <c r="T116" s="40"/>
      <c r="U116" s="40">
        <v>0</v>
      </c>
      <c r="V116" s="40">
        <v>12.2</v>
      </c>
      <c r="W116" s="41">
        <v>0</v>
      </c>
      <c r="X116" s="41">
        <v>18.3</v>
      </c>
      <c r="Y116" s="41">
        <v>25.3</v>
      </c>
      <c r="Z116" s="41">
        <v>14.1</v>
      </c>
      <c r="AA116" s="42">
        <v>540</v>
      </c>
      <c r="AB116" s="40">
        <f t="shared" si="3"/>
        <v>363.6</v>
      </c>
      <c r="AC116" s="43"/>
      <c r="AD116" s="41"/>
      <c r="AE116" s="41"/>
      <c r="AF116" s="41"/>
      <c r="AG116" s="41"/>
      <c r="AH116" s="41"/>
      <c r="AI116" s="41"/>
      <c r="AJ116" s="41"/>
      <c r="AK116" s="44">
        <f t="shared" si="2"/>
        <v>363.6</v>
      </c>
      <c r="AL116" s="50"/>
      <c r="AM116" s="65"/>
      <c r="AN116" s="44"/>
      <c r="AO116" s="46"/>
    </row>
    <row r="117" spans="1:41" ht="25.5" x14ac:dyDescent="0.2">
      <c r="A117" s="34">
        <v>113</v>
      </c>
      <c r="B117" s="35" t="s">
        <v>323</v>
      </c>
      <c r="C117" s="36">
        <v>24582340</v>
      </c>
      <c r="D117" s="37" t="s">
        <v>75</v>
      </c>
      <c r="E117" s="37" t="s">
        <v>29</v>
      </c>
      <c r="F117" s="37" t="s">
        <v>17</v>
      </c>
      <c r="G117" s="38" t="s">
        <v>8</v>
      </c>
      <c r="H117" s="39">
        <v>44963</v>
      </c>
      <c r="I117" s="38" t="s">
        <v>22</v>
      </c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1"/>
      <c r="X117" s="41">
        <v>80</v>
      </c>
      <c r="Y117" s="41">
        <v>25.3</v>
      </c>
      <c r="Z117" s="41">
        <v>14.1</v>
      </c>
      <c r="AA117" s="42">
        <v>160</v>
      </c>
      <c r="AB117" s="40">
        <f t="shared" si="3"/>
        <v>40.600000000000009</v>
      </c>
      <c r="AC117" s="43"/>
      <c r="AD117" s="41"/>
      <c r="AE117" s="41"/>
      <c r="AF117" s="41"/>
      <c r="AG117" s="41"/>
      <c r="AH117" s="41"/>
      <c r="AI117" s="41"/>
      <c r="AJ117" s="41"/>
      <c r="AK117" s="44">
        <f t="shared" si="2"/>
        <v>40.600000000000009</v>
      </c>
      <c r="AL117" s="50"/>
      <c r="AM117" s="65"/>
      <c r="AN117" s="44"/>
      <c r="AO117" s="46"/>
    </row>
    <row r="118" spans="1:41" ht="25.5" x14ac:dyDescent="0.2">
      <c r="A118" s="34">
        <v>114</v>
      </c>
      <c r="B118" s="35" t="s">
        <v>324</v>
      </c>
      <c r="C118" s="36">
        <v>16786435</v>
      </c>
      <c r="D118" s="37" t="s">
        <v>75</v>
      </c>
      <c r="E118" s="37" t="s">
        <v>29</v>
      </c>
      <c r="F118" s="37" t="s">
        <v>201</v>
      </c>
      <c r="G118" s="38" t="s">
        <v>8</v>
      </c>
      <c r="H118" s="39">
        <v>36084</v>
      </c>
      <c r="I118" s="38" t="s">
        <v>11</v>
      </c>
      <c r="J118" s="75">
        <v>88</v>
      </c>
      <c r="K118" s="75">
        <v>34</v>
      </c>
      <c r="L118" s="75">
        <v>11.2</v>
      </c>
      <c r="M118" s="75"/>
      <c r="N118" s="75">
        <v>4</v>
      </c>
      <c r="O118" s="75">
        <v>33.799999999999997</v>
      </c>
      <c r="P118" s="75"/>
      <c r="Q118" s="75">
        <v>36.9</v>
      </c>
      <c r="R118" s="75">
        <v>51.4</v>
      </c>
      <c r="S118" s="75">
        <v>41.8</v>
      </c>
      <c r="T118" s="75">
        <v>18.899999999999999</v>
      </c>
      <c r="U118" s="40">
        <v>54.999999999999993</v>
      </c>
      <c r="V118" s="40">
        <v>5.9</v>
      </c>
      <c r="W118" s="41">
        <v>33</v>
      </c>
      <c r="X118" s="41">
        <v>25.5</v>
      </c>
      <c r="Y118" s="41">
        <v>35</v>
      </c>
      <c r="Z118" s="41">
        <v>34.799999999999997</v>
      </c>
      <c r="AA118" s="42">
        <v>540</v>
      </c>
      <c r="AB118" s="40">
        <f t="shared" si="3"/>
        <v>30.800000000000011</v>
      </c>
      <c r="AC118" s="43"/>
      <c r="AD118" s="43"/>
      <c r="AE118" s="76"/>
      <c r="AF118" s="76"/>
      <c r="AG118" s="43"/>
      <c r="AH118" s="43"/>
      <c r="AI118" s="43"/>
      <c r="AJ118" s="43"/>
      <c r="AK118" s="44">
        <f t="shared" si="2"/>
        <v>30.800000000000011</v>
      </c>
      <c r="AL118" s="65"/>
      <c r="AM118" s="96"/>
      <c r="AN118" s="78"/>
      <c r="AO118" s="73"/>
    </row>
    <row r="119" spans="1:41" ht="25.5" x14ac:dyDescent="0.2">
      <c r="A119" s="34">
        <v>115</v>
      </c>
      <c r="B119" s="114" t="s">
        <v>325</v>
      </c>
      <c r="C119" s="115">
        <v>9736170</v>
      </c>
      <c r="D119" s="116" t="s">
        <v>75</v>
      </c>
      <c r="E119" s="116" t="s">
        <v>29</v>
      </c>
      <c r="F119" s="116" t="s">
        <v>201</v>
      </c>
      <c r="G119" s="117" t="s">
        <v>8</v>
      </c>
      <c r="H119" s="118">
        <v>40959</v>
      </c>
      <c r="I119" s="117" t="s">
        <v>10</v>
      </c>
      <c r="J119" s="108"/>
      <c r="K119" s="108"/>
      <c r="L119" s="108"/>
      <c r="M119" s="108">
        <v>36.6</v>
      </c>
      <c r="N119" s="108"/>
      <c r="O119" s="108">
        <v>26.8</v>
      </c>
      <c r="P119" s="108"/>
      <c r="Q119" s="108">
        <v>31.6</v>
      </c>
      <c r="R119" s="108">
        <v>65</v>
      </c>
      <c r="S119" s="108"/>
      <c r="T119" s="108">
        <v>43.6</v>
      </c>
      <c r="U119" s="108">
        <v>79.800000000000011</v>
      </c>
      <c r="V119" s="108">
        <v>21.200000000000003</v>
      </c>
      <c r="W119" s="109">
        <v>15.4</v>
      </c>
      <c r="X119" s="109">
        <v>0</v>
      </c>
      <c r="Y119" s="109">
        <v>0</v>
      </c>
      <c r="Z119" s="109">
        <v>0</v>
      </c>
      <c r="AA119" s="119">
        <v>320</v>
      </c>
      <c r="AB119" s="59">
        <f t="shared" si="3"/>
        <v>0</v>
      </c>
      <c r="AC119" s="109"/>
      <c r="AD119" s="109"/>
      <c r="AE119" s="109"/>
      <c r="AF119" s="109"/>
      <c r="AG119" s="109"/>
      <c r="AH119" s="109"/>
      <c r="AI119" s="109"/>
      <c r="AJ119" s="109"/>
      <c r="AK119" s="201">
        <f t="shared" si="2"/>
        <v>0</v>
      </c>
      <c r="AL119" s="64"/>
      <c r="AM119" s="64"/>
      <c r="AN119" s="63"/>
      <c r="AO119" s="68" t="s">
        <v>326</v>
      </c>
    </row>
    <row r="120" spans="1:41" ht="25.5" x14ac:dyDescent="0.2">
      <c r="A120" s="34">
        <v>116</v>
      </c>
      <c r="B120" s="35" t="s">
        <v>327</v>
      </c>
      <c r="C120" s="36">
        <v>7560430</v>
      </c>
      <c r="D120" s="37" t="s">
        <v>75</v>
      </c>
      <c r="E120" s="37" t="s">
        <v>29</v>
      </c>
      <c r="F120" s="37" t="s">
        <v>201</v>
      </c>
      <c r="G120" s="38" t="s">
        <v>8</v>
      </c>
      <c r="H120" s="39">
        <v>37165</v>
      </c>
      <c r="I120" s="38" t="s">
        <v>11</v>
      </c>
      <c r="J120" s="40">
        <v>103.44</v>
      </c>
      <c r="K120" s="40"/>
      <c r="L120" s="40">
        <v>19.5</v>
      </c>
      <c r="M120" s="40">
        <v>20.7</v>
      </c>
      <c r="N120" s="40">
        <v>7.7</v>
      </c>
      <c r="O120" s="40">
        <v>26.8</v>
      </c>
      <c r="P120" s="40">
        <v>28.5</v>
      </c>
      <c r="Q120" s="40">
        <v>10.3</v>
      </c>
      <c r="R120" s="40">
        <v>13.5</v>
      </c>
      <c r="S120" s="40"/>
      <c r="T120" s="40">
        <v>48</v>
      </c>
      <c r="U120" s="40">
        <v>0</v>
      </c>
      <c r="V120" s="40">
        <v>0</v>
      </c>
      <c r="W120" s="41">
        <v>0</v>
      </c>
      <c r="X120" s="41">
        <v>0</v>
      </c>
      <c r="Y120" s="41">
        <v>0</v>
      </c>
      <c r="Z120" s="41">
        <v>0</v>
      </c>
      <c r="AA120" s="42">
        <v>540</v>
      </c>
      <c r="AB120" s="40">
        <f t="shared" si="3"/>
        <v>261.56</v>
      </c>
      <c r="AC120" s="43"/>
      <c r="AD120" s="41"/>
      <c r="AE120" s="41"/>
      <c r="AF120" s="41"/>
      <c r="AG120" s="41"/>
      <c r="AH120" s="41"/>
      <c r="AI120" s="41"/>
      <c r="AJ120" s="41"/>
      <c r="AK120" s="44">
        <f t="shared" si="2"/>
        <v>261.56</v>
      </c>
      <c r="AL120" s="45"/>
      <c r="AM120" s="45"/>
      <c r="AN120" s="44"/>
      <c r="AO120" s="46"/>
    </row>
    <row r="121" spans="1:41" ht="25.5" x14ac:dyDescent="0.2">
      <c r="A121" s="34">
        <v>117</v>
      </c>
      <c r="B121" s="35" t="s">
        <v>328</v>
      </c>
      <c r="C121" s="36">
        <v>14896480</v>
      </c>
      <c r="D121" s="37" t="s">
        <v>75</v>
      </c>
      <c r="E121" s="37" t="s">
        <v>29</v>
      </c>
      <c r="F121" s="37" t="s">
        <v>201</v>
      </c>
      <c r="G121" s="38" t="s">
        <v>8</v>
      </c>
      <c r="H121" s="39">
        <v>37165</v>
      </c>
      <c r="I121" s="38" t="s">
        <v>11</v>
      </c>
      <c r="J121" s="40">
        <v>125.7</v>
      </c>
      <c r="K121" s="40"/>
      <c r="L121" s="40">
        <v>3</v>
      </c>
      <c r="M121" s="40"/>
      <c r="N121" s="40">
        <v>4.7</v>
      </c>
      <c r="O121" s="40">
        <v>12</v>
      </c>
      <c r="P121" s="40">
        <v>12</v>
      </c>
      <c r="Q121" s="40"/>
      <c r="R121" s="40">
        <v>19.2</v>
      </c>
      <c r="S121" s="40">
        <v>11.1</v>
      </c>
      <c r="T121" s="40">
        <v>29.8</v>
      </c>
      <c r="U121" s="40">
        <v>0</v>
      </c>
      <c r="V121" s="40">
        <v>8</v>
      </c>
      <c r="W121" s="41">
        <v>0</v>
      </c>
      <c r="X121" s="41">
        <v>0</v>
      </c>
      <c r="Y121" s="41">
        <v>0</v>
      </c>
      <c r="Z121" s="41">
        <v>12</v>
      </c>
      <c r="AA121" s="42">
        <v>540</v>
      </c>
      <c r="AB121" s="40">
        <f t="shared" si="3"/>
        <v>302.5</v>
      </c>
      <c r="AC121" s="43"/>
      <c r="AD121" s="41"/>
      <c r="AE121" s="41"/>
      <c r="AF121" s="41"/>
      <c r="AG121" s="41"/>
      <c r="AH121" s="41"/>
      <c r="AI121" s="41"/>
      <c r="AJ121" s="41"/>
      <c r="AK121" s="44">
        <f t="shared" si="2"/>
        <v>302.5</v>
      </c>
      <c r="AL121" s="45"/>
      <c r="AM121" s="45"/>
      <c r="AN121" s="44"/>
      <c r="AO121" s="46"/>
    </row>
    <row r="122" spans="1:41" ht="25.5" x14ac:dyDescent="0.2">
      <c r="A122" s="34">
        <v>118</v>
      </c>
      <c r="B122" s="35" t="s">
        <v>329</v>
      </c>
      <c r="C122" s="36">
        <v>18493676</v>
      </c>
      <c r="D122" s="37" t="s">
        <v>75</v>
      </c>
      <c r="E122" s="37" t="s">
        <v>29</v>
      </c>
      <c r="F122" s="37" t="s">
        <v>17</v>
      </c>
      <c r="G122" s="38" t="s">
        <v>8</v>
      </c>
      <c r="H122" s="39">
        <v>44963</v>
      </c>
      <c r="I122" s="38" t="s">
        <v>22</v>
      </c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1"/>
      <c r="X122" s="41">
        <v>25.9</v>
      </c>
      <c r="Y122" s="41">
        <v>0</v>
      </c>
      <c r="Z122" s="41">
        <v>0</v>
      </c>
      <c r="AA122" s="42">
        <v>160</v>
      </c>
      <c r="AB122" s="40">
        <f t="shared" si="3"/>
        <v>134.1</v>
      </c>
      <c r="AC122" s="43"/>
      <c r="AD122" s="41"/>
      <c r="AE122" s="41"/>
      <c r="AF122" s="41"/>
      <c r="AG122" s="41"/>
      <c r="AH122" s="41"/>
      <c r="AI122" s="41"/>
      <c r="AJ122" s="41"/>
      <c r="AK122" s="44">
        <f t="shared" si="2"/>
        <v>134.1</v>
      </c>
      <c r="AL122" s="45"/>
      <c r="AM122" s="45"/>
      <c r="AN122" s="44"/>
      <c r="AO122" s="46"/>
    </row>
    <row r="123" spans="1:41" ht="25.5" x14ac:dyDescent="0.2">
      <c r="A123" s="34">
        <v>119</v>
      </c>
      <c r="B123" s="70" t="s">
        <v>330</v>
      </c>
      <c r="C123" s="71">
        <v>41945894</v>
      </c>
      <c r="D123" s="73" t="s">
        <v>75</v>
      </c>
      <c r="E123" s="73" t="s">
        <v>29</v>
      </c>
      <c r="F123" s="73" t="s">
        <v>201</v>
      </c>
      <c r="G123" s="72" t="s">
        <v>8</v>
      </c>
      <c r="H123" s="74">
        <v>38393</v>
      </c>
      <c r="I123" s="72" t="s">
        <v>11</v>
      </c>
      <c r="J123" s="75">
        <v>185.6</v>
      </c>
      <c r="K123" s="75"/>
      <c r="L123" s="75"/>
      <c r="M123" s="75">
        <v>57.5</v>
      </c>
      <c r="N123" s="75"/>
      <c r="O123" s="75">
        <v>3</v>
      </c>
      <c r="P123" s="75">
        <v>31</v>
      </c>
      <c r="Q123" s="75">
        <v>15</v>
      </c>
      <c r="R123" s="75">
        <v>12</v>
      </c>
      <c r="S123" s="75">
        <v>51</v>
      </c>
      <c r="T123" s="75">
        <v>102.4</v>
      </c>
      <c r="U123" s="75">
        <v>57.300000000000004</v>
      </c>
      <c r="V123" s="75">
        <v>25.200000000000003</v>
      </c>
      <c r="W123" s="41">
        <v>0</v>
      </c>
      <c r="X123" s="41">
        <v>0</v>
      </c>
      <c r="Y123" s="41">
        <v>0</v>
      </c>
      <c r="Z123" s="41">
        <v>0</v>
      </c>
      <c r="AA123" s="77">
        <v>540</v>
      </c>
      <c r="AB123" s="40">
        <f t="shared" si="3"/>
        <v>0</v>
      </c>
      <c r="AC123" s="76"/>
      <c r="AD123" s="76"/>
      <c r="AE123" s="76"/>
      <c r="AF123" s="76"/>
      <c r="AG123" s="76"/>
      <c r="AH123" s="76"/>
      <c r="AI123" s="76"/>
      <c r="AJ123" s="76"/>
      <c r="AK123" s="78">
        <f t="shared" si="2"/>
        <v>0</v>
      </c>
      <c r="AL123" s="65"/>
      <c r="AM123" s="65"/>
      <c r="AN123" s="44"/>
      <c r="AO123" s="79"/>
    </row>
    <row r="124" spans="1:41" ht="38.25" x14ac:dyDescent="0.2">
      <c r="A124" s="34">
        <v>120</v>
      </c>
      <c r="B124" s="54" t="s">
        <v>331</v>
      </c>
      <c r="C124" s="55">
        <v>7558022</v>
      </c>
      <c r="D124" s="56" t="s">
        <v>75</v>
      </c>
      <c r="E124" s="56" t="s">
        <v>29</v>
      </c>
      <c r="F124" s="56" t="s">
        <v>17</v>
      </c>
      <c r="G124" s="57" t="s">
        <v>8</v>
      </c>
      <c r="H124" s="58">
        <v>37165</v>
      </c>
      <c r="I124" s="57" t="s">
        <v>10</v>
      </c>
      <c r="J124" s="59">
        <v>62.2</v>
      </c>
      <c r="K124" s="59"/>
      <c r="L124" s="59">
        <v>11.9</v>
      </c>
      <c r="M124" s="59"/>
      <c r="N124" s="59"/>
      <c r="O124" s="59">
        <v>14</v>
      </c>
      <c r="P124" s="59"/>
      <c r="Q124" s="59">
        <v>13</v>
      </c>
      <c r="R124" s="59"/>
      <c r="S124" s="59">
        <v>11.1</v>
      </c>
      <c r="T124" s="59">
        <v>29</v>
      </c>
      <c r="U124" s="59">
        <v>42.5</v>
      </c>
      <c r="V124" s="59">
        <v>28.700000000000003</v>
      </c>
      <c r="W124" s="60">
        <v>0</v>
      </c>
      <c r="X124" s="60">
        <v>0</v>
      </c>
      <c r="Y124" s="60">
        <v>0</v>
      </c>
      <c r="Z124" s="60">
        <v>0</v>
      </c>
      <c r="AA124" s="61">
        <v>320</v>
      </c>
      <c r="AB124" s="59">
        <f t="shared" si="3"/>
        <v>107.60000000000002</v>
      </c>
      <c r="AC124" s="62"/>
      <c r="AD124" s="62"/>
      <c r="AE124" s="62"/>
      <c r="AF124" s="62"/>
      <c r="AG124" s="62"/>
      <c r="AH124" s="62"/>
      <c r="AI124" s="62"/>
      <c r="AJ124" s="62"/>
      <c r="AK124" s="63">
        <f t="shared" si="2"/>
        <v>107.60000000000002</v>
      </c>
      <c r="AL124" s="64"/>
      <c r="AM124" s="64"/>
      <c r="AN124" s="63"/>
      <c r="AO124" s="68" t="s">
        <v>332</v>
      </c>
    </row>
    <row r="125" spans="1:41" ht="25.5" x14ac:dyDescent="0.2">
      <c r="A125" s="34">
        <v>121</v>
      </c>
      <c r="B125" s="35" t="s">
        <v>333</v>
      </c>
      <c r="C125" s="36">
        <v>7545283</v>
      </c>
      <c r="D125" s="37" t="s">
        <v>75</v>
      </c>
      <c r="E125" s="37" t="s">
        <v>29</v>
      </c>
      <c r="F125" s="37" t="s">
        <v>17</v>
      </c>
      <c r="G125" s="38" t="s">
        <v>8</v>
      </c>
      <c r="H125" s="39">
        <v>42955</v>
      </c>
      <c r="I125" s="38" t="s">
        <v>22</v>
      </c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>
        <v>14.6</v>
      </c>
      <c r="U125" s="40">
        <v>0</v>
      </c>
      <c r="V125" s="40">
        <v>0</v>
      </c>
      <c r="W125" s="41">
        <v>0</v>
      </c>
      <c r="X125" s="41">
        <v>0</v>
      </c>
      <c r="Y125" s="41">
        <v>0</v>
      </c>
      <c r="Z125" s="41">
        <v>0</v>
      </c>
      <c r="AA125" s="42">
        <v>160</v>
      </c>
      <c r="AB125" s="40">
        <f t="shared" si="3"/>
        <v>145.4</v>
      </c>
      <c r="AC125" s="43"/>
      <c r="AD125" s="41"/>
      <c r="AE125" s="41"/>
      <c r="AF125" s="41"/>
      <c r="AG125" s="41"/>
      <c r="AH125" s="41"/>
      <c r="AI125" s="41"/>
      <c r="AJ125" s="41"/>
      <c r="AK125" s="44">
        <f t="shared" si="2"/>
        <v>145.4</v>
      </c>
      <c r="AL125" s="45"/>
      <c r="AM125" s="45"/>
      <c r="AN125" s="44"/>
      <c r="AO125" s="46"/>
    </row>
    <row r="126" spans="1:41" ht="25.5" x14ac:dyDescent="0.2">
      <c r="A126" s="34">
        <v>122</v>
      </c>
      <c r="B126" s="35" t="s">
        <v>334</v>
      </c>
      <c r="C126" s="36">
        <v>16512197</v>
      </c>
      <c r="D126" s="37" t="s">
        <v>75</v>
      </c>
      <c r="E126" s="37" t="s">
        <v>29</v>
      </c>
      <c r="F126" s="37" t="s">
        <v>17</v>
      </c>
      <c r="G126" s="38" t="s">
        <v>8</v>
      </c>
      <c r="H126" s="39">
        <v>44963</v>
      </c>
      <c r="I126" s="38" t="s">
        <v>22</v>
      </c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1"/>
      <c r="X126" s="41">
        <v>35.700000000000003</v>
      </c>
      <c r="Y126" s="41">
        <v>22.3</v>
      </c>
      <c r="Z126" s="41">
        <v>0</v>
      </c>
      <c r="AA126" s="42">
        <v>160</v>
      </c>
      <c r="AB126" s="40">
        <f t="shared" si="3"/>
        <v>102</v>
      </c>
      <c r="AC126" s="43"/>
      <c r="AD126" s="41"/>
      <c r="AE126" s="93"/>
      <c r="AF126" s="41"/>
      <c r="AG126" s="41"/>
      <c r="AH126" s="41"/>
      <c r="AI126" s="41"/>
      <c r="AJ126" s="41"/>
      <c r="AK126" s="44">
        <f t="shared" si="2"/>
        <v>102</v>
      </c>
      <c r="AL126" s="50"/>
      <c r="AM126" s="45"/>
      <c r="AN126" s="44"/>
      <c r="AO126" s="46"/>
    </row>
    <row r="127" spans="1:41" ht="25.5" x14ac:dyDescent="0.2">
      <c r="A127" s="34">
        <v>123</v>
      </c>
      <c r="B127" s="35" t="s">
        <v>335</v>
      </c>
      <c r="C127" s="36">
        <v>41948811</v>
      </c>
      <c r="D127" s="37" t="s">
        <v>75</v>
      </c>
      <c r="E127" s="37" t="s">
        <v>29</v>
      </c>
      <c r="F127" s="37" t="s">
        <v>201</v>
      </c>
      <c r="G127" s="38" t="s">
        <v>8</v>
      </c>
      <c r="H127" s="39">
        <v>40203</v>
      </c>
      <c r="I127" s="38" t="s">
        <v>11</v>
      </c>
      <c r="J127" s="40"/>
      <c r="K127" s="40">
        <v>32.5</v>
      </c>
      <c r="L127" s="40">
        <v>39</v>
      </c>
      <c r="M127" s="40"/>
      <c r="N127" s="40"/>
      <c r="O127" s="40">
        <v>13.8</v>
      </c>
      <c r="P127" s="40">
        <v>17.899999999999999</v>
      </c>
      <c r="Q127" s="40">
        <v>52.6</v>
      </c>
      <c r="R127" s="40"/>
      <c r="S127" s="40">
        <v>12</v>
      </c>
      <c r="T127" s="40">
        <v>16</v>
      </c>
      <c r="U127" s="40">
        <v>23.6</v>
      </c>
      <c r="V127" s="40">
        <v>33.4</v>
      </c>
      <c r="W127" s="41">
        <v>11.9</v>
      </c>
      <c r="X127" s="41">
        <v>0</v>
      </c>
      <c r="Y127" s="41">
        <v>35</v>
      </c>
      <c r="Z127" s="41">
        <v>48.7</v>
      </c>
      <c r="AA127" s="42">
        <v>540</v>
      </c>
      <c r="AB127" s="40">
        <f t="shared" si="3"/>
        <v>203.60000000000002</v>
      </c>
      <c r="AC127" s="43"/>
      <c r="AD127" s="41"/>
      <c r="AE127" s="41"/>
      <c r="AF127" s="41"/>
      <c r="AG127" s="41"/>
      <c r="AH127" s="41"/>
      <c r="AI127" s="41"/>
      <c r="AJ127" s="41"/>
      <c r="AK127" s="44">
        <f t="shared" si="2"/>
        <v>203.60000000000002</v>
      </c>
      <c r="AL127" s="45"/>
      <c r="AM127" s="96"/>
      <c r="AN127" s="44"/>
      <c r="AO127" s="79"/>
    </row>
    <row r="128" spans="1:41" ht="25.5" x14ac:dyDescent="0.2">
      <c r="A128" s="34">
        <v>124</v>
      </c>
      <c r="B128" s="35" t="s">
        <v>336</v>
      </c>
      <c r="C128" s="36">
        <v>18397507</v>
      </c>
      <c r="D128" s="37" t="s">
        <v>75</v>
      </c>
      <c r="E128" s="37" t="s">
        <v>29</v>
      </c>
      <c r="F128" s="37" t="s">
        <v>21</v>
      </c>
      <c r="G128" s="38" t="s">
        <v>8</v>
      </c>
      <c r="H128" s="39">
        <v>41872</v>
      </c>
      <c r="I128" s="38" t="s">
        <v>10</v>
      </c>
      <c r="J128" s="40"/>
      <c r="K128" s="40"/>
      <c r="L128" s="40"/>
      <c r="M128" s="40"/>
      <c r="N128" s="40"/>
      <c r="O128" s="40">
        <v>113.9</v>
      </c>
      <c r="P128" s="40">
        <v>18.100000000000001</v>
      </c>
      <c r="Q128" s="40">
        <v>59.8</v>
      </c>
      <c r="R128" s="40"/>
      <c r="S128" s="40"/>
      <c r="T128" s="40"/>
      <c r="U128" s="40">
        <v>0</v>
      </c>
      <c r="V128" s="40">
        <v>0</v>
      </c>
      <c r="W128" s="41">
        <v>4.3</v>
      </c>
      <c r="X128" s="41">
        <v>8.4</v>
      </c>
      <c r="Y128" s="41">
        <v>0</v>
      </c>
      <c r="Z128" s="41">
        <v>0</v>
      </c>
      <c r="AA128" s="42">
        <v>320</v>
      </c>
      <c r="AB128" s="40">
        <f t="shared" si="3"/>
        <v>115.49999999999997</v>
      </c>
      <c r="AC128" s="43"/>
      <c r="AD128" s="43"/>
      <c r="AE128" s="43"/>
      <c r="AF128" s="43"/>
      <c r="AG128" s="43"/>
      <c r="AH128" s="43"/>
      <c r="AI128" s="43"/>
      <c r="AJ128" s="43"/>
      <c r="AK128" s="44">
        <f t="shared" si="2"/>
        <v>115.49999999999997</v>
      </c>
      <c r="AL128" s="45"/>
      <c r="AM128" s="45"/>
      <c r="AN128" s="44"/>
      <c r="AO128" s="37"/>
    </row>
    <row r="129" spans="1:41" ht="25.5" x14ac:dyDescent="0.2">
      <c r="A129" s="34">
        <v>125</v>
      </c>
      <c r="B129" s="35" t="s">
        <v>337</v>
      </c>
      <c r="C129" s="36">
        <v>18401163</v>
      </c>
      <c r="D129" s="37" t="s">
        <v>75</v>
      </c>
      <c r="E129" s="37" t="s">
        <v>29</v>
      </c>
      <c r="F129" s="37" t="s">
        <v>17</v>
      </c>
      <c r="G129" s="38" t="s">
        <v>8</v>
      </c>
      <c r="H129" s="39">
        <v>43864</v>
      </c>
      <c r="I129" s="38" t="s">
        <v>10</v>
      </c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>
        <v>51.8</v>
      </c>
      <c r="V129" s="40">
        <v>33.4</v>
      </c>
      <c r="W129" s="41">
        <v>10</v>
      </c>
      <c r="X129" s="41">
        <v>0</v>
      </c>
      <c r="Y129" s="41">
        <v>0</v>
      </c>
      <c r="Z129" s="41">
        <v>13.9</v>
      </c>
      <c r="AA129" s="42">
        <v>320</v>
      </c>
      <c r="AB129" s="40">
        <f t="shared" si="3"/>
        <v>210.9</v>
      </c>
      <c r="AC129" s="43"/>
      <c r="AD129" s="43"/>
      <c r="AE129" s="43"/>
      <c r="AF129" s="43"/>
      <c r="AG129" s="43"/>
      <c r="AH129" s="43"/>
      <c r="AI129" s="43"/>
      <c r="AJ129" s="43"/>
      <c r="AK129" s="44">
        <f t="shared" si="2"/>
        <v>210.9</v>
      </c>
      <c r="AL129" s="45"/>
      <c r="AM129" s="43"/>
      <c r="AN129" s="44"/>
      <c r="AO129" s="46"/>
    </row>
    <row r="130" spans="1:41" ht="25.5" x14ac:dyDescent="0.2">
      <c r="A130" s="34">
        <v>126</v>
      </c>
      <c r="B130" s="35" t="s">
        <v>338</v>
      </c>
      <c r="C130" s="36">
        <v>41948277</v>
      </c>
      <c r="D130" s="37" t="s">
        <v>75</v>
      </c>
      <c r="E130" s="37" t="s">
        <v>29</v>
      </c>
      <c r="F130" s="37" t="s">
        <v>201</v>
      </c>
      <c r="G130" s="38" t="s">
        <v>8</v>
      </c>
      <c r="H130" s="39">
        <v>38551</v>
      </c>
      <c r="I130" s="38" t="s">
        <v>11</v>
      </c>
      <c r="J130" s="40">
        <v>84.6</v>
      </c>
      <c r="K130" s="40">
        <v>17.5</v>
      </c>
      <c r="L130" s="40"/>
      <c r="M130" s="40"/>
      <c r="N130" s="40"/>
      <c r="O130" s="40"/>
      <c r="P130" s="40">
        <v>5.9</v>
      </c>
      <c r="Q130" s="40">
        <v>30.7</v>
      </c>
      <c r="R130" s="40">
        <v>15.2</v>
      </c>
      <c r="S130" s="40">
        <v>21.9</v>
      </c>
      <c r="T130" s="40">
        <v>21.2</v>
      </c>
      <c r="U130" s="40">
        <v>36.299999999999997</v>
      </c>
      <c r="V130" s="40">
        <v>0</v>
      </c>
      <c r="W130" s="41">
        <v>33</v>
      </c>
      <c r="X130" s="41">
        <v>8.6</v>
      </c>
      <c r="Y130" s="41">
        <v>35</v>
      </c>
      <c r="Z130" s="41">
        <v>34.799999999999997</v>
      </c>
      <c r="AA130" s="42">
        <v>540</v>
      </c>
      <c r="AB130" s="40">
        <f t="shared" si="3"/>
        <v>195.3</v>
      </c>
      <c r="AC130" s="43"/>
      <c r="AD130" s="41"/>
      <c r="AE130" s="41"/>
      <c r="AF130" s="41"/>
      <c r="AG130" s="41"/>
      <c r="AH130" s="41"/>
      <c r="AI130" s="41"/>
      <c r="AJ130" s="41"/>
      <c r="AK130" s="44">
        <f t="shared" si="2"/>
        <v>195.3</v>
      </c>
      <c r="AL130" s="65"/>
      <c r="AM130" s="96"/>
      <c r="AN130" s="44"/>
      <c r="AO130" s="46"/>
    </row>
    <row r="131" spans="1:41" ht="21" customHeight="1" x14ac:dyDescent="0.2">
      <c r="A131" s="34">
        <v>127</v>
      </c>
      <c r="B131" s="35" t="s">
        <v>339</v>
      </c>
      <c r="C131" s="97">
        <v>9730805</v>
      </c>
      <c r="D131" s="38" t="s">
        <v>74</v>
      </c>
      <c r="E131" s="37" t="s">
        <v>29</v>
      </c>
      <c r="F131" s="37" t="s">
        <v>17</v>
      </c>
      <c r="G131" s="38" t="s">
        <v>8</v>
      </c>
      <c r="H131" s="39">
        <v>44963</v>
      </c>
      <c r="I131" s="38" t="s">
        <v>22</v>
      </c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1"/>
      <c r="X131" s="41">
        <v>30.4</v>
      </c>
      <c r="Y131" s="41">
        <v>0</v>
      </c>
      <c r="Z131" s="41">
        <v>0</v>
      </c>
      <c r="AA131" s="42">
        <v>160</v>
      </c>
      <c r="AB131" s="40">
        <f t="shared" si="3"/>
        <v>129.6</v>
      </c>
      <c r="AC131" s="43"/>
      <c r="AD131" s="43"/>
      <c r="AE131" s="43"/>
      <c r="AF131" s="43"/>
      <c r="AG131" s="43"/>
      <c r="AH131" s="43"/>
      <c r="AI131" s="43"/>
      <c r="AJ131" s="43"/>
      <c r="AK131" s="44">
        <f t="shared" si="2"/>
        <v>129.6</v>
      </c>
      <c r="AL131" s="45"/>
      <c r="AM131" s="43"/>
      <c r="AN131" s="44"/>
      <c r="AO131" s="46"/>
    </row>
    <row r="132" spans="1:41" ht="21" customHeight="1" x14ac:dyDescent="0.2">
      <c r="A132" s="34">
        <v>128</v>
      </c>
      <c r="B132" s="35" t="s">
        <v>340</v>
      </c>
      <c r="C132" s="36">
        <v>76318502</v>
      </c>
      <c r="D132" s="38" t="s">
        <v>74</v>
      </c>
      <c r="E132" s="37" t="s">
        <v>29</v>
      </c>
      <c r="F132" s="38" t="s">
        <v>201</v>
      </c>
      <c r="G132" s="38" t="s">
        <v>8</v>
      </c>
      <c r="H132" s="39">
        <v>40203</v>
      </c>
      <c r="I132" s="38" t="s">
        <v>11</v>
      </c>
      <c r="J132" s="40"/>
      <c r="K132" s="40">
        <v>12</v>
      </c>
      <c r="L132" s="40"/>
      <c r="M132" s="40">
        <v>12.6</v>
      </c>
      <c r="N132" s="40">
        <v>33</v>
      </c>
      <c r="O132" s="40">
        <v>36</v>
      </c>
      <c r="P132" s="40">
        <v>23</v>
      </c>
      <c r="Q132" s="40">
        <v>70.2</v>
      </c>
      <c r="R132" s="40">
        <v>54</v>
      </c>
      <c r="S132" s="40">
        <v>109</v>
      </c>
      <c r="T132" s="40">
        <v>12</v>
      </c>
      <c r="U132" s="40">
        <v>8</v>
      </c>
      <c r="V132" s="40">
        <v>12</v>
      </c>
      <c r="W132" s="41">
        <v>16</v>
      </c>
      <c r="X132" s="41">
        <v>0</v>
      </c>
      <c r="Y132" s="41">
        <v>0</v>
      </c>
      <c r="Z132" s="41">
        <v>0</v>
      </c>
      <c r="AA132" s="42">
        <v>540</v>
      </c>
      <c r="AB132" s="40">
        <f t="shared" si="3"/>
        <v>142.19999999999999</v>
      </c>
      <c r="AC132" s="43"/>
      <c r="AD132" s="41"/>
      <c r="AE132" s="43"/>
      <c r="AF132" s="43"/>
      <c r="AG132" s="41"/>
      <c r="AH132" s="41"/>
      <c r="AI132" s="41"/>
      <c r="AJ132" s="41"/>
      <c r="AK132" s="44">
        <f t="shared" si="2"/>
        <v>142.19999999999999</v>
      </c>
      <c r="AL132" s="45"/>
      <c r="AM132" s="45"/>
      <c r="AN132" s="44"/>
      <c r="AO132" s="46"/>
    </row>
    <row r="133" spans="1:41" ht="21" customHeight="1" x14ac:dyDescent="0.2">
      <c r="A133" s="34">
        <v>129</v>
      </c>
      <c r="B133" s="35" t="s">
        <v>341</v>
      </c>
      <c r="C133" s="36">
        <v>76316780</v>
      </c>
      <c r="D133" s="38" t="s">
        <v>74</v>
      </c>
      <c r="E133" s="37" t="s">
        <v>29</v>
      </c>
      <c r="F133" s="38" t="s">
        <v>21</v>
      </c>
      <c r="G133" s="38" t="s">
        <v>8</v>
      </c>
      <c r="H133" s="38" t="s">
        <v>342</v>
      </c>
      <c r="I133" s="38" t="s">
        <v>11</v>
      </c>
      <c r="J133" s="40">
        <v>15</v>
      </c>
      <c r="K133" s="40">
        <v>3</v>
      </c>
      <c r="L133" s="40">
        <v>3</v>
      </c>
      <c r="M133" s="40">
        <v>12.6</v>
      </c>
      <c r="N133" s="40">
        <v>33</v>
      </c>
      <c r="O133" s="40">
        <v>36</v>
      </c>
      <c r="P133" s="40">
        <v>23</v>
      </c>
      <c r="Q133" s="40">
        <v>70.2</v>
      </c>
      <c r="R133" s="40">
        <v>46</v>
      </c>
      <c r="S133" s="40">
        <v>76</v>
      </c>
      <c r="T133" s="40">
        <v>2.2000000000000002</v>
      </c>
      <c r="U133" s="40">
        <v>13.5</v>
      </c>
      <c r="V133" s="40">
        <v>6</v>
      </c>
      <c r="W133" s="41">
        <v>16</v>
      </c>
      <c r="X133" s="41">
        <v>0</v>
      </c>
      <c r="Y133" s="41">
        <v>18.2</v>
      </c>
      <c r="Z133" s="41">
        <v>12</v>
      </c>
      <c r="AA133" s="42">
        <v>540</v>
      </c>
      <c r="AB133" s="40">
        <f t="shared" si="3"/>
        <v>154.30000000000001</v>
      </c>
      <c r="AC133" s="43"/>
      <c r="AD133" s="41"/>
      <c r="AE133" s="76"/>
      <c r="AF133" s="76"/>
      <c r="AG133" s="41"/>
      <c r="AH133" s="41"/>
      <c r="AI133" s="41"/>
      <c r="AJ133" s="41"/>
      <c r="AK133" s="44">
        <f t="shared" ref="AK133:AK196" si="4">AB133-AC133-AD133-AE133-AF133-AG133-AH133-AI133-AJ133</f>
        <v>154.30000000000001</v>
      </c>
      <c r="AL133" s="45"/>
      <c r="AM133" s="65"/>
      <c r="AN133" s="78"/>
      <c r="AO133" s="73"/>
    </row>
    <row r="134" spans="1:41" ht="21" customHeight="1" x14ac:dyDescent="0.2">
      <c r="A134" s="34">
        <v>130</v>
      </c>
      <c r="B134" s="35" t="s">
        <v>343</v>
      </c>
      <c r="C134" s="36">
        <v>17657692</v>
      </c>
      <c r="D134" s="38" t="s">
        <v>74</v>
      </c>
      <c r="E134" s="37" t="s">
        <v>29</v>
      </c>
      <c r="F134" s="38" t="s">
        <v>201</v>
      </c>
      <c r="G134" s="38" t="s">
        <v>8</v>
      </c>
      <c r="H134" s="39">
        <v>40947</v>
      </c>
      <c r="I134" s="38" t="s">
        <v>10</v>
      </c>
      <c r="J134" s="40"/>
      <c r="K134" s="40"/>
      <c r="L134" s="40"/>
      <c r="M134" s="40">
        <v>29.3</v>
      </c>
      <c r="N134" s="40"/>
      <c r="O134" s="40">
        <v>8</v>
      </c>
      <c r="P134" s="40">
        <v>16.399999999999999</v>
      </c>
      <c r="Q134" s="40">
        <v>30.5</v>
      </c>
      <c r="R134" s="40"/>
      <c r="S134" s="40"/>
      <c r="T134" s="40"/>
      <c r="U134" s="40">
        <v>12</v>
      </c>
      <c r="V134" s="40">
        <v>12</v>
      </c>
      <c r="W134" s="41">
        <v>7.8</v>
      </c>
      <c r="X134" s="41">
        <v>0</v>
      </c>
      <c r="Y134" s="41">
        <v>0</v>
      </c>
      <c r="Z134" s="41">
        <v>0</v>
      </c>
      <c r="AA134" s="42">
        <v>320</v>
      </c>
      <c r="AB134" s="40">
        <f t="shared" ref="AB134:AB197" si="5">AA134-(J134+K134+L134+M134+N134+O134+P134+Q134+R134+S134+T134+U134+V134+W134+X134+Y134+Z134)</f>
        <v>204</v>
      </c>
      <c r="AC134" s="43"/>
      <c r="AD134" s="41"/>
      <c r="AE134" s="41"/>
      <c r="AF134" s="41"/>
      <c r="AG134" s="41"/>
      <c r="AH134" s="41"/>
      <c r="AI134" s="41"/>
      <c r="AJ134" s="41"/>
      <c r="AK134" s="44">
        <f t="shared" si="4"/>
        <v>204</v>
      </c>
      <c r="AL134" s="45"/>
      <c r="AM134" s="45"/>
      <c r="AN134" s="44"/>
      <c r="AO134" s="46"/>
    </row>
    <row r="135" spans="1:41" ht="21" customHeight="1" x14ac:dyDescent="0.2">
      <c r="A135" s="34">
        <v>131</v>
      </c>
      <c r="B135" s="70" t="s">
        <v>344</v>
      </c>
      <c r="C135" s="71">
        <v>76323234</v>
      </c>
      <c r="D135" s="72" t="s">
        <v>74</v>
      </c>
      <c r="E135" s="73" t="s">
        <v>29</v>
      </c>
      <c r="F135" s="72" t="s">
        <v>201</v>
      </c>
      <c r="G135" s="72" t="s">
        <v>8</v>
      </c>
      <c r="H135" s="74">
        <v>41872</v>
      </c>
      <c r="I135" s="72" t="s">
        <v>11</v>
      </c>
      <c r="J135" s="75"/>
      <c r="K135" s="75"/>
      <c r="L135" s="75"/>
      <c r="M135" s="75"/>
      <c r="N135" s="75"/>
      <c r="O135" s="75">
        <v>33</v>
      </c>
      <c r="P135" s="75"/>
      <c r="Q135" s="75">
        <v>47.2</v>
      </c>
      <c r="R135" s="75">
        <v>56.1</v>
      </c>
      <c r="S135" s="75">
        <v>47</v>
      </c>
      <c r="T135" s="75">
        <v>32</v>
      </c>
      <c r="U135" s="75">
        <v>95.5</v>
      </c>
      <c r="V135" s="75">
        <v>9.1999999999999993</v>
      </c>
      <c r="W135" s="76">
        <v>129.1</v>
      </c>
      <c r="X135" s="76">
        <v>72</v>
      </c>
      <c r="Y135" s="76">
        <v>18.899999999999999</v>
      </c>
      <c r="Z135" s="76">
        <v>0</v>
      </c>
      <c r="AA135" s="77">
        <v>540</v>
      </c>
      <c r="AB135" s="40">
        <f t="shared" si="5"/>
        <v>0</v>
      </c>
      <c r="AC135" s="76"/>
      <c r="AD135" s="76"/>
      <c r="AE135" s="76"/>
      <c r="AF135" s="76"/>
      <c r="AG135" s="76"/>
      <c r="AH135" s="76"/>
      <c r="AI135" s="76"/>
      <c r="AJ135" s="76"/>
      <c r="AK135" s="78">
        <f t="shared" si="4"/>
        <v>0</v>
      </c>
      <c r="AL135" s="45"/>
      <c r="AM135" s="45"/>
      <c r="AN135" s="44"/>
      <c r="AO135" s="46"/>
    </row>
    <row r="136" spans="1:41" ht="21" customHeight="1" x14ac:dyDescent="0.2">
      <c r="A136" s="34">
        <v>132</v>
      </c>
      <c r="B136" s="35" t="s">
        <v>345</v>
      </c>
      <c r="C136" s="36">
        <v>94453488</v>
      </c>
      <c r="D136" s="38" t="s">
        <v>74</v>
      </c>
      <c r="E136" s="37" t="s">
        <v>29</v>
      </c>
      <c r="F136" s="38" t="s">
        <v>201</v>
      </c>
      <c r="G136" s="38" t="s">
        <v>8</v>
      </c>
      <c r="H136" s="38" t="s">
        <v>342</v>
      </c>
      <c r="I136" s="38" t="s">
        <v>11</v>
      </c>
      <c r="J136" s="40">
        <v>90.5</v>
      </c>
      <c r="K136" s="40">
        <v>10.5</v>
      </c>
      <c r="L136" s="40"/>
      <c r="M136" s="40">
        <v>1.5</v>
      </c>
      <c r="N136" s="40"/>
      <c r="O136" s="40"/>
      <c r="P136" s="40">
        <v>3</v>
      </c>
      <c r="Q136" s="40"/>
      <c r="R136" s="40">
        <v>12</v>
      </c>
      <c r="S136" s="40"/>
      <c r="T136" s="40"/>
      <c r="U136" s="40">
        <v>0</v>
      </c>
      <c r="V136" s="40">
        <v>21.1</v>
      </c>
      <c r="W136" s="41">
        <v>6.5</v>
      </c>
      <c r="X136" s="41">
        <v>0</v>
      </c>
      <c r="Y136" s="41">
        <v>6</v>
      </c>
      <c r="Z136" s="41">
        <v>0</v>
      </c>
      <c r="AA136" s="42">
        <v>540</v>
      </c>
      <c r="AB136" s="40">
        <f t="shared" si="5"/>
        <v>388.9</v>
      </c>
      <c r="AC136" s="43"/>
      <c r="AD136" s="41"/>
      <c r="AE136" s="41"/>
      <c r="AF136" s="41"/>
      <c r="AG136" s="41"/>
      <c r="AH136" s="41"/>
      <c r="AI136" s="41"/>
      <c r="AJ136" s="41"/>
      <c r="AK136" s="44">
        <f t="shared" si="4"/>
        <v>388.9</v>
      </c>
      <c r="AL136" s="45"/>
      <c r="AM136" s="45"/>
      <c r="AN136" s="44"/>
      <c r="AO136" s="46"/>
    </row>
    <row r="137" spans="1:41" ht="21" customHeight="1" x14ac:dyDescent="0.2">
      <c r="A137" s="34">
        <v>133</v>
      </c>
      <c r="B137" s="35" t="s">
        <v>346</v>
      </c>
      <c r="C137" s="36">
        <v>16747204</v>
      </c>
      <c r="D137" s="38" t="s">
        <v>74</v>
      </c>
      <c r="E137" s="37" t="s">
        <v>29</v>
      </c>
      <c r="F137" s="38" t="s">
        <v>17</v>
      </c>
      <c r="G137" s="38" t="s">
        <v>8</v>
      </c>
      <c r="H137" s="39">
        <v>37159</v>
      </c>
      <c r="I137" s="38" t="s">
        <v>22</v>
      </c>
      <c r="J137" s="40">
        <v>49.9</v>
      </c>
      <c r="K137" s="40"/>
      <c r="L137" s="40"/>
      <c r="M137" s="40"/>
      <c r="N137" s="40"/>
      <c r="O137" s="40"/>
      <c r="P137" s="40">
        <v>1.5</v>
      </c>
      <c r="Q137" s="40"/>
      <c r="R137" s="40"/>
      <c r="S137" s="40"/>
      <c r="T137" s="40"/>
      <c r="U137" s="40">
        <v>0</v>
      </c>
      <c r="V137" s="40">
        <v>4</v>
      </c>
      <c r="W137" s="41">
        <v>0</v>
      </c>
      <c r="X137" s="41">
        <v>0</v>
      </c>
      <c r="Y137" s="41">
        <v>0</v>
      </c>
      <c r="Z137" s="41">
        <v>0</v>
      </c>
      <c r="AA137" s="42">
        <v>160</v>
      </c>
      <c r="AB137" s="40">
        <f t="shared" si="5"/>
        <v>104.6</v>
      </c>
      <c r="AC137" s="43"/>
      <c r="AD137" s="41"/>
      <c r="AE137" s="41"/>
      <c r="AF137" s="41"/>
      <c r="AG137" s="41"/>
      <c r="AH137" s="41"/>
      <c r="AI137" s="41"/>
      <c r="AJ137" s="41"/>
      <c r="AK137" s="44">
        <f t="shared" si="4"/>
        <v>104.6</v>
      </c>
      <c r="AL137" s="45"/>
      <c r="AM137" s="45"/>
      <c r="AN137" s="44"/>
      <c r="AO137" s="46"/>
    </row>
    <row r="138" spans="1:41" ht="21" customHeight="1" x14ac:dyDescent="0.2">
      <c r="A138" s="34">
        <v>134</v>
      </c>
      <c r="B138" s="35" t="s">
        <v>347</v>
      </c>
      <c r="C138" s="36">
        <v>18388816</v>
      </c>
      <c r="D138" s="38" t="s">
        <v>74</v>
      </c>
      <c r="E138" s="37" t="s">
        <v>29</v>
      </c>
      <c r="F138" s="38" t="s">
        <v>17</v>
      </c>
      <c r="G138" s="38" t="s">
        <v>8</v>
      </c>
      <c r="H138" s="39">
        <v>42955</v>
      </c>
      <c r="I138" s="38" t="s">
        <v>10</v>
      </c>
      <c r="J138" s="40"/>
      <c r="K138" s="40"/>
      <c r="L138" s="40"/>
      <c r="M138" s="40"/>
      <c r="N138" s="40"/>
      <c r="O138" s="40"/>
      <c r="P138" s="40"/>
      <c r="Q138" s="40"/>
      <c r="R138" s="40">
        <v>63.1</v>
      </c>
      <c r="S138" s="40">
        <v>24</v>
      </c>
      <c r="T138" s="40"/>
      <c r="U138" s="40">
        <v>0</v>
      </c>
      <c r="V138" s="40">
        <v>0</v>
      </c>
      <c r="W138" s="41">
        <v>0</v>
      </c>
      <c r="X138" s="41">
        <v>0</v>
      </c>
      <c r="Y138" s="41">
        <v>0</v>
      </c>
      <c r="Z138" s="41">
        <v>0</v>
      </c>
      <c r="AA138" s="42">
        <v>320</v>
      </c>
      <c r="AB138" s="40">
        <f t="shared" si="5"/>
        <v>232.9</v>
      </c>
      <c r="AC138" s="43"/>
      <c r="AD138" s="41"/>
      <c r="AE138" s="41"/>
      <c r="AF138" s="41"/>
      <c r="AG138" s="41"/>
      <c r="AH138" s="41"/>
      <c r="AI138" s="41"/>
      <c r="AJ138" s="41"/>
      <c r="AK138" s="44">
        <f t="shared" si="4"/>
        <v>232.9</v>
      </c>
      <c r="AL138" s="45"/>
      <c r="AM138" s="45"/>
      <c r="AN138" s="44"/>
      <c r="AO138" s="46"/>
    </row>
    <row r="139" spans="1:41" ht="21" customHeight="1" x14ac:dyDescent="0.2">
      <c r="A139" s="34">
        <v>135</v>
      </c>
      <c r="B139" s="35" t="s">
        <v>348</v>
      </c>
      <c r="C139" s="36">
        <v>94317593</v>
      </c>
      <c r="D139" s="38" t="s">
        <v>74</v>
      </c>
      <c r="E139" s="37" t="s">
        <v>29</v>
      </c>
      <c r="F139" s="38" t="s">
        <v>17</v>
      </c>
      <c r="G139" s="38" t="s">
        <v>8</v>
      </c>
      <c r="H139" s="39">
        <v>38393</v>
      </c>
      <c r="I139" s="38" t="s">
        <v>10</v>
      </c>
      <c r="J139" s="40">
        <v>46.6</v>
      </c>
      <c r="K139" s="40"/>
      <c r="L139" s="40"/>
      <c r="M139" s="40"/>
      <c r="N139" s="40"/>
      <c r="O139" s="40">
        <v>12</v>
      </c>
      <c r="P139" s="40"/>
      <c r="Q139" s="40"/>
      <c r="R139" s="40">
        <v>12.3</v>
      </c>
      <c r="S139" s="40"/>
      <c r="T139" s="40"/>
      <c r="U139" s="40">
        <v>8</v>
      </c>
      <c r="V139" s="40">
        <v>0</v>
      </c>
      <c r="W139" s="41">
        <v>0</v>
      </c>
      <c r="X139" s="41">
        <v>0</v>
      </c>
      <c r="Y139" s="41">
        <v>0</v>
      </c>
      <c r="Z139" s="41">
        <v>0</v>
      </c>
      <c r="AA139" s="42">
        <v>320</v>
      </c>
      <c r="AB139" s="40">
        <f t="shared" si="5"/>
        <v>241.1</v>
      </c>
      <c r="AC139" s="43"/>
      <c r="AD139" s="41"/>
      <c r="AE139" s="41"/>
      <c r="AF139" s="41"/>
      <c r="AG139" s="41"/>
      <c r="AH139" s="41"/>
      <c r="AI139" s="41"/>
      <c r="AJ139" s="41"/>
      <c r="AK139" s="44">
        <f t="shared" si="4"/>
        <v>241.1</v>
      </c>
      <c r="AL139" s="45"/>
      <c r="AM139" s="45"/>
      <c r="AN139" s="44"/>
      <c r="AO139" s="46"/>
    </row>
    <row r="140" spans="1:41" ht="21" customHeight="1" x14ac:dyDescent="0.2">
      <c r="A140" s="34">
        <v>136</v>
      </c>
      <c r="B140" s="35" t="s">
        <v>349</v>
      </c>
      <c r="C140" s="36">
        <v>18399636</v>
      </c>
      <c r="D140" s="38" t="s">
        <v>74</v>
      </c>
      <c r="E140" s="37" t="s">
        <v>29</v>
      </c>
      <c r="F140" s="38" t="s">
        <v>201</v>
      </c>
      <c r="G140" s="38" t="s">
        <v>8</v>
      </c>
      <c r="H140" s="39">
        <v>40203</v>
      </c>
      <c r="I140" s="38" t="s">
        <v>11</v>
      </c>
      <c r="J140" s="40"/>
      <c r="K140" s="40">
        <v>10.5</v>
      </c>
      <c r="L140" s="40"/>
      <c r="M140" s="40">
        <v>3</v>
      </c>
      <c r="N140" s="40">
        <v>6</v>
      </c>
      <c r="O140" s="40">
        <v>15</v>
      </c>
      <c r="P140" s="40">
        <v>3</v>
      </c>
      <c r="Q140" s="40">
        <v>12</v>
      </c>
      <c r="R140" s="40">
        <v>30</v>
      </c>
      <c r="S140" s="40">
        <v>26.9</v>
      </c>
      <c r="T140" s="40"/>
      <c r="U140" s="40">
        <v>0</v>
      </c>
      <c r="V140" s="40">
        <v>4</v>
      </c>
      <c r="W140" s="41">
        <v>14.3</v>
      </c>
      <c r="X140" s="41">
        <v>0</v>
      </c>
      <c r="Y140" s="41">
        <v>0</v>
      </c>
      <c r="Z140" s="41">
        <v>0</v>
      </c>
      <c r="AA140" s="42">
        <v>540</v>
      </c>
      <c r="AB140" s="40">
        <f t="shared" si="5"/>
        <v>415.3</v>
      </c>
      <c r="AC140" s="43"/>
      <c r="AD140" s="43"/>
      <c r="AE140" s="43"/>
      <c r="AF140" s="43"/>
      <c r="AG140" s="43"/>
      <c r="AH140" s="43"/>
      <c r="AI140" s="43"/>
      <c r="AJ140" s="43"/>
      <c r="AK140" s="44">
        <f t="shared" si="4"/>
        <v>415.3</v>
      </c>
      <c r="AL140" s="45"/>
      <c r="AM140" s="45"/>
      <c r="AN140" s="44"/>
      <c r="AO140" s="46"/>
    </row>
    <row r="141" spans="1:41" ht="21" customHeight="1" x14ac:dyDescent="0.2">
      <c r="A141" s="34">
        <v>137</v>
      </c>
      <c r="B141" s="35" t="s">
        <v>351</v>
      </c>
      <c r="C141" s="36">
        <v>89007514</v>
      </c>
      <c r="D141" s="38" t="s">
        <v>74</v>
      </c>
      <c r="E141" s="37" t="s">
        <v>29</v>
      </c>
      <c r="F141" s="38" t="s">
        <v>201</v>
      </c>
      <c r="G141" s="38" t="s">
        <v>8</v>
      </c>
      <c r="H141" s="39">
        <v>37165</v>
      </c>
      <c r="I141" s="38" t="s">
        <v>10</v>
      </c>
      <c r="J141" s="40">
        <v>41.2</v>
      </c>
      <c r="K141" s="40">
        <v>6</v>
      </c>
      <c r="L141" s="40"/>
      <c r="M141" s="40">
        <v>12</v>
      </c>
      <c r="N141" s="40">
        <v>12</v>
      </c>
      <c r="O141" s="40"/>
      <c r="P141" s="40">
        <v>3</v>
      </c>
      <c r="Q141" s="40">
        <v>13.9</v>
      </c>
      <c r="R141" s="40"/>
      <c r="S141" s="40">
        <v>38.9</v>
      </c>
      <c r="T141" s="40"/>
      <c r="U141" s="40">
        <v>0</v>
      </c>
      <c r="V141" s="40">
        <v>10.7</v>
      </c>
      <c r="W141" s="41">
        <v>14.3</v>
      </c>
      <c r="X141" s="41">
        <v>0</v>
      </c>
      <c r="Y141" s="41">
        <v>0</v>
      </c>
      <c r="Z141" s="41">
        <v>0</v>
      </c>
      <c r="AA141" s="42">
        <v>320</v>
      </c>
      <c r="AB141" s="40">
        <f t="shared" si="5"/>
        <v>168</v>
      </c>
      <c r="AC141" s="43"/>
      <c r="AD141" s="41"/>
      <c r="AE141" s="80"/>
      <c r="AF141" s="41"/>
      <c r="AG141" s="41"/>
      <c r="AH141" s="41"/>
      <c r="AI141" s="41"/>
      <c r="AJ141" s="41"/>
      <c r="AK141" s="44">
        <f t="shared" si="4"/>
        <v>168</v>
      </c>
      <c r="AL141" s="81"/>
      <c r="AM141" s="81"/>
      <c r="AN141" s="82"/>
      <c r="AO141" s="113"/>
    </row>
    <row r="142" spans="1:41" ht="21" customHeight="1" x14ac:dyDescent="0.2">
      <c r="A142" s="34">
        <v>138</v>
      </c>
      <c r="B142" s="35" t="s">
        <v>352</v>
      </c>
      <c r="C142" s="36">
        <v>9770373</v>
      </c>
      <c r="D142" s="38" t="s">
        <v>74</v>
      </c>
      <c r="E142" s="37" t="s">
        <v>29</v>
      </c>
      <c r="F142" s="38" t="s">
        <v>17</v>
      </c>
      <c r="G142" s="38" t="s">
        <v>8</v>
      </c>
      <c r="H142" s="39">
        <v>43864</v>
      </c>
      <c r="I142" s="38" t="s">
        <v>22</v>
      </c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>
        <v>94.9</v>
      </c>
      <c r="V142" s="40">
        <v>0</v>
      </c>
      <c r="W142" s="41">
        <v>10</v>
      </c>
      <c r="X142" s="41">
        <v>0</v>
      </c>
      <c r="Y142" s="41">
        <v>0</v>
      </c>
      <c r="Z142" s="41">
        <v>0</v>
      </c>
      <c r="AA142" s="42">
        <v>160</v>
      </c>
      <c r="AB142" s="40">
        <f t="shared" si="5"/>
        <v>55.099999999999994</v>
      </c>
      <c r="AC142" s="43"/>
      <c r="AD142" s="43"/>
      <c r="AE142" s="43"/>
      <c r="AF142" s="43"/>
      <c r="AG142" s="43"/>
      <c r="AH142" s="43"/>
      <c r="AI142" s="43"/>
      <c r="AJ142" s="43"/>
      <c r="AK142" s="44">
        <f t="shared" si="4"/>
        <v>55.099999999999994</v>
      </c>
      <c r="AL142" s="45"/>
      <c r="AM142" s="45"/>
      <c r="AN142" s="44"/>
      <c r="AO142" s="46"/>
    </row>
    <row r="143" spans="1:41" ht="21" customHeight="1" x14ac:dyDescent="0.2">
      <c r="A143" s="34">
        <v>139</v>
      </c>
      <c r="B143" s="35" t="s">
        <v>353</v>
      </c>
      <c r="C143" s="36">
        <v>1094901176</v>
      </c>
      <c r="D143" s="38" t="s">
        <v>74</v>
      </c>
      <c r="E143" s="37" t="s">
        <v>29</v>
      </c>
      <c r="F143" s="38" t="s">
        <v>17</v>
      </c>
      <c r="G143" s="38" t="s">
        <v>8</v>
      </c>
      <c r="H143" s="39">
        <v>44977</v>
      </c>
      <c r="I143" s="38" t="s">
        <v>22</v>
      </c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1"/>
      <c r="X143" s="41">
        <v>19</v>
      </c>
      <c r="Y143" s="41">
        <v>6</v>
      </c>
      <c r="Z143" s="41">
        <v>20</v>
      </c>
      <c r="AA143" s="42">
        <v>160</v>
      </c>
      <c r="AB143" s="40">
        <f t="shared" si="5"/>
        <v>115</v>
      </c>
      <c r="AC143" s="43"/>
      <c r="AD143" s="41"/>
      <c r="AE143" s="80"/>
      <c r="AF143" s="41"/>
      <c r="AG143" s="41"/>
      <c r="AH143" s="41"/>
      <c r="AI143" s="41"/>
      <c r="AJ143" s="41"/>
      <c r="AK143" s="44">
        <f t="shared" si="4"/>
        <v>115</v>
      </c>
      <c r="AL143" s="81"/>
      <c r="AM143" s="81"/>
      <c r="AN143" s="82"/>
      <c r="AO143" s="113"/>
    </row>
    <row r="144" spans="1:41" ht="21" customHeight="1" x14ac:dyDescent="0.2">
      <c r="A144" s="34">
        <v>140</v>
      </c>
      <c r="B144" s="35" t="s">
        <v>354</v>
      </c>
      <c r="C144" s="36">
        <v>94528666</v>
      </c>
      <c r="D144" s="38" t="s">
        <v>74</v>
      </c>
      <c r="E144" s="37" t="s">
        <v>29</v>
      </c>
      <c r="F144" s="38" t="s">
        <v>201</v>
      </c>
      <c r="G144" s="38" t="s">
        <v>8</v>
      </c>
      <c r="H144" s="39">
        <v>38762</v>
      </c>
      <c r="I144" s="38" t="s">
        <v>22</v>
      </c>
      <c r="J144" s="40">
        <v>43.6</v>
      </c>
      <c r="K144" s="40"/>
      <c r="L144" s="40"/>
      <c r="M144" s="40">
        <v>3</v>
      </c>
      <c r="N144" s="40"/>
      <c r="O144" s="40">
        <v>12</v>
      </c>
      <c r="P144" s="40"/>
      <c r="Q144" s="40"/>
      <c r="R144" s="40"/>
      <c r="S144" s="40"/>
      <c r="T144" s="40"/>
      <c r="U144" s="40">
        <v>8</v>
      </c>
      <c r="V144" s="40">
        <v>25.099999999999998</v>
      </c>
      <c r="W144" s="41">
        <v>0</v>
      </c>
      <c r="X144" s="41">
        <v>0</v>
      </c>
      <c r="Y144" s="41">
        <v>0</v>
      </c>
      <c r="Z144" s="41">
        <v>0</v>
      </c>
      <c r="AA144" s="42">
        <v>160</v>
      </c>
      <c r="AB144" s="40">
        <f t="shared" si="5"/>
        <v>68.300000000000011</v>
      </c>
      <c r="AC144" s="43"/>
      <c r="AD144" s="41"/>
      <c r="AE144" s="41"/>
      <c r="AF144" s="41"/>
      <c r="AG144" s="41"/>
      <c r="AH144" s="41"/>
      <c r="AI144" s="41"/>
      <c r="AJ144" s="41"/>
      <c r="AK144" s="44">
        <f t="shared" si="4"/>
        <v>68.300000000000011</v>
      </c>
      <c r="AL144" s="45"/>
      <c r="AM144" s="45"/>
      <c r="AN144" s="44"/>
      <c r="AO144" s="95"/>
    </row>
    <row r="145" spans="1:41" ht="38.25" x14ac:dyDescent="0.2">
      <c r="A145" s="34">
        <v>141</v>
      </c>
      <c r="B145" s="54" t="s">
        <v>355</v>
      </c>
      <c r="C145" s="55">
        <v>7540648</v>
      </c>
      <c r="D145" s="56" t="s">
        <v>81</v>
      </c>
      <c r="E145" s="56" t="s">
        <v>29</v>
      </c>
      <c r="F145" s="57" t="s">
        <v>17</v>
      </c>
      <c r="G145" s="57" t="s">
        <v>8</v>
      </c>
      <c r="H145" s="58">
        <v>42955</v>
      </c>
      <c r="I145" s="57" t="s">
        <v>10</v>
      </c>
      <c r="J145" s="59"/>
      <c r="K145" s="59"/>
      <c r="L145" s="59"/>
      <c r="M145" s="59"/>
      <c r="N145" s="59"/>
      <c r="O145" s="59"/>
      <c r="P145" s="59"/>
      <c r="Q145" s="59"/>
      <c r="R145" s="59">
        <v>16.2</v>
      </c>
      <c r="S145" s="59"/>
      <c r="T145" s="59">
        <v>25.3</v>
      </c>
      <c r="U145" s="59">
        <v>13.7</v>
      </c>
      <c r="V145" s="59">
        <v>8</v>
      </c>
      <c r="W145" s="60">
        <v>13.3</v>
      </c>
      <c r="X145" s="60">
        <v>0</v>
      </c>
      <c r="Y145" s="60">
        <v>0</v>
      </c>
      <c r="Z145" s="60">
        <v>0</v>
      </c>
      <c r="AA145" s="61">
        <v>320</v>
      </c>
      <c r="AB145" s="59">
        <f t="shared" si="5"/>
        <v>243.5</v>
      </c>
      <c r="AC145" s="62"/>
      <c r="AD145" s="60"/>
      <c r="AE145" s="60"/>
      <c r="AF145" s="60"/>
      <c r="AG145" s="60"/>
      <c r="AH145" s="60"/>
      <c r="AI145" s="60"/>
      <c r="AJ145" s="60"/>
      <c r="AK145" s="63">
        <f t="shared" si="4"/>
        <v>243.5</v>
      </c>
      <c r="AL145" s="120"/>
      <c r="AM145" s="120"/>
      <c r="AN145" s="63" t="s">
        <v>356</v>
      </c>
      <c r="AO145" s="68" t="s">
        <v>357</v>
      </c>
    </row>
    <row r="146" spans="1:41" ht="21" customHeight="1" x14ac:dyDescent="0.2">
      <c r="A146" s="34">
        <v>142</v>
      </c>
      <c r="B146" s="86" t="s">
        <v>358</v>
      </c>
      <c r="C146" s="87">
        <v>89007517</v>
      </c>
      <c r="D146" s="89" t="s">
        <v>81</v>
      </c>
      <c r="E146" s="89" t="s">
        <v>29</v>
      </c>
      <c r="F146" s="88" t="s">
        <v>21</v>
      </c>
      <c r="G146" s="88" t="s">
        <v>8</v>
      </c>
      <c r="H146" s="90">
        <v>42955</v>
      </c>
      <c r="I146" s="88" t="s">
        <v>10</v>
      </c>
      <c r="J146" s="91"/>
      <c r="K146" s="91"/>
      <c r="L146" s="91"/>
      <c r="M146" s="91"/>
      <c r="N146" s="91"/>
      <c r="O146" s="91"/>
      <c r="P146" s="91"/>
      <c r="Q146" s="91"/>
      <c r="R146" s="91">
        <v>11</v>
      </c>
      <c r="S146" s="91">
        <v>22</v>
      </c>
      <c r="T146" s="91">
        <v>25.3</v>
      </c>
      <c r="U146" s="91">
        <v>36.700000000000003</v>
      </c>
      <c r="V146" s="91">
        <v>37</v>
      </c>
      <c r="W146" s="93">
        <v>15.5</v>
      </c>
      <c r="X146" s="93">
        <v>0</v>
      </c>
      <c r="Y146" s="93">
        <v>8</v>
      </c>
      <c r="Z146" s="93">
        <v>13.5</v>
      </c>
      <c r="AA146" s="92">
        <v>320</v>
      </c>
      <c r="AB146" s="40">
        <f t="shared" si="5"/>
        <v>151</v>
      </c>
      <c r="AC146" s="93">
        <f>Pub_Rev_Index!X4</f>
        <v>8</v>
      </c>
      <c r="AD146" s="93"/>
      <c r="AE146" s="93"/>
      <c r="AF146" s="93"/>
      <c r="AG146" s="93"/>
      <c r="AH146" s="93"/>
      <c r="AI146" s="93"/>
      <c r="AJ146" s="93"/>
      <c r="AK146" s="44">
        <f t="shared" si="4"/>
        <v>143</v>
      </c>
      <c r="AL146" s="50"/>
      <c r="AM146" s="81"/>
      <c r="AN146" s="44"/>
      <c r="AO146" s="46"/>
    </row>
    <row r="147" spans="1:41" ht="21" customHeight="1" x14ac:dyDescent="0.2">
      <c r="A147" s="34">
        <v>143</v>
      </c>
      <c r="B147" s="35" t="s">
        <v>359</v>
      </c>
      <c r="C147" s="36">
        <v>7530842</v>
      </c>
      <c r="D147" s="37" t="s">
        <v>81</v>
      </c>
      <c r="E147" s="37" t="s">
        <v>29</v>
      </c>
      <c r="F147" s="38" t="s">
        <v>17</v>
      </c>
      <c r="G147" s="38" t="s">
        <v>8</v>
      </c>
      <c r="H147" s="39">
        <v>34171</v>
      </c>
      <c r="I147" s="38" t="s">
        <v>10</v>
      </c>
      <c r="J147" s="40">
        <v>11.6</v>
      </c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>
        <v>3</v>
      </c>
      <c r="V147" s="40">
        <v>0</v>
      </c>
      <c r="W147" s="41">
        <v>13.3</v>
      </c>
      <c r="X147" s="41">
        <v>0</v>
      </c>
      <c r="Y147" s="41">
        <v>0</v>
      </c>
      <c r="Z147" s="41">
        <v>0</v>
      </c>
      <c r="AA147" s="42">
        <v>320</v>
      </c>
      <c r="AB147" s="40">
        <f t="shared" si="5"/>
        <v>292.10000000000002</v>
      </c>
      <c r="AC147" s="43"/>
      <c r="AD147" s="41"/>
      <c r="AE147" s="41"/>
      <c r="AF147" s="41"/>
      <c r="AG147" s="41"/>
      <c r="AH147" s="41"/>
      <c r="AI147" s="41"/>
      <c r="AJ147" s="41"/>
      <c r="AK147" s="44">
        <f t="shared" si="4"/>
        <v>292.10000000000002</v>
      </c>
      <c r="AL147" s="81"/>
      <c r="AM147" s="81"/>
      <c r="AN147" s="44"/>
      <c r="AO147" s="46"/>
    </row>
    <row r="148" spans="1:41" ht="21" customHeight="1" x14ac:dyDescent="0.2">
      <c r="A148" s="34">
        <v>144</v>
      </c>
      <c r="B148" s="35" t="s">
        <v>360</v>
      </c>
      <c r="C148" s="36">
        <v>7540504</v>
      </c>
      <c r="D148" s="37" t="s">
        <v>81</v>
      </c>
      <c r="E148" s="37" t="s">
        <v>29</v>
      </c>
      <c r="F148" s="38" t="s">
        <v>17</v>
      </c>
      <c r="G148" s="38" t="s">
        <v>8</v>
      </c>
      <c r="H148" s="39">
        <v>34171</v>
      </c>
      <c r="I148" s="38" t="s">
        <v>11</v>
      </c>
      <c r="J148" s="40">
        <v>63.5</v>
      </c>
      <c r="K148" s="40"/>
      <c r="L148" s="40"/>
      <c r="M148" s="40"/>
      <c r="N148" s="40"/>
      <c r="O148" s="40">
        <v>3</v>
      </c>
      <c r="P148" s="40"/>
      <c r="Q148" s="40"/>
      <c r="R148" s="40">
        <v>8</v>
      </c>
      <c r="S148" s="40">
        <v>22</v>
      </c>
      <c r="T148" s="40">
        <v>25.3</v>
      </c>
      <c r="U148" s="40">
        <v>39.700000000000003</v>
      </c>
      <c r="V148" s="40">
        <v>37</v>
      </c>
      <c r="W148" s="41">
        <v>21.3</v>
      </c>
      <c r="X148" s="41">
        <v>0</v>
      </c>
      <c r="Y148" s="41">
        <v>0</v>
      </c>
      <c r="Z148" s="41">
        <v>13.5</v>
      </c>
      <c r="AA148" s="42">
        <v>540</v>
      </c>
      <c r="AB148" s="40">
        <f t="shared" si="5"/>
        <v>306.7</v>
      </c>
      <c r="AC148" s="43"/>
      <c r="AD148" s="41"/>
      <c r="AE148" s="41"/>
      <c r="AF148" s="41"/>
      <c r="AG148" s="41"/>
      <c r="AH148" s="41"/>
      <c r="AI148" s="41"/>
      <c r="AJ148" s="41"/>
      <c r="AK148" s="44">
        <f t="shared" si="4"/>
        <v>306.7</v>
      </c>
      <c r="AL148" s="50"/>
      <c r="AM148" s="81"/>
      <c r="AN148" s="44"/>
      <c r="AO148" s="46"/>
    </row>
    <row r="149" spans="1:41" ht="21" customHeight="1" x14ac:dyDescent="0.2">
      <c r="A149" s="34">
        <v>145</v>
      </c>
      <c r="B149" s="35" t="s">
        <v>361</v>
      </c>
      <c r="C149" s="36">
        <v>18470142</v>
      </c>
      <c r="D149" s="37" t="s">
        <v>81</v>
      </c>
      <c r="E149" s="37" t="s">
        <v>29</v>
      </c>
      <c r="F149" s="38" t="s">
        <v>17</v>
      </c>
      <c r="G149" s="38" t="s">
        <v>8</v>
      </c>
      <c r="H149" s="39">
        <v>44963</v>
      </c>
      <c r="I149" s="38" t="s">
        <v>22</v>
      </c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1"/>
      <c r="X149" s="41">
        <v>22</v>
      </c>
      <c r="Y149" s="41">
        <v>8</v>
      </c>
      <c r="Z149" s="41">
        <v>13.5</v>
      </c>
      <c r="AA149" s="42">
        <v>160</v>
      </c>
      <c r="AB149" s="40">
        <f t="shared" si="5"/>
        <v>116.5</v>
      </c>
      <c r="AC149" s="43"/>
      <c r="AD149" s="41"/>
      <c r="AE149" s="41"/>
      <c r="AF149" s="41"/>
      <c r="AG149" s="41"/>
      <c r="AH149" s="41"/>
      <c r="AI149" s="41"/>
      <c r="AJ149" s="41"/>
      <c r="AK149" s="44">
        <f t="shared" si="4"/>
        <v>116.5</v>
      </c>
      <c r="AL149" s="50"/>
      <c r="AM149" s="81"/>
      <c r="AN149" s="44"/>
      <c r="AO149" s="46"/>
    </row>
    <row r="150" spans="1:41" ht="21" customHeight="1" x14ac:dyDescent="0.2">
      <c r="A150" s="34">
        <v>146</v>
      </c>
      <c r="B150" s="35" t="s">
        <v>362</v>
      </c>
      <c r="C150" s="36">
        <v>88141692</v>
      </c>
      <c r="D150" s="37" t="s">
        <v>81</v>
      </c>
      <c r="E150" s="37" t="s">
        <v>29</v>
      </c>
      <c r="F150" s="38" t="s">
        <v>201</v>
      </c>
      <c r="G150" s="38" t="s">
        <v>8</v>
      </c>
      <c r="H150" s="39">
        <v>34834</v>
      </c>
      <c r="I150" s="38" t="s">
        <v>22</v>
      </c>
      <c r="J150" s="40">
        <v>29.5</v>
      </c>
      <c r="K150" s="40"/>
      <c r="L150" s="40"/>
      <c r="M150" s="40"/>
      <c r="N150" s="40"/>
      <c r="O150" s="40">
        <v>3</v>
      </c>
      <c r="P150" s="40">
        <v>3</v>
      </c>
      <c r="Q150" s="40"/>
      <c r="R150" s="40"/>
      <c r="S150" s="40"/>
      <c r="T150" s="40">
        <v>21</v>
      </c>
      <c r="U150" s="40">
        <v>3.8</v>
      </c>
      <c r="V150" s="40">
        <v>4.3</v>
      </c>
      <c r="W150" s="41">
        <v>16.600000000000001</v>
      </c>
      <c r="X150" s="41">
        <v>0</v>
      </c>
      <c r="Y150" s="41">
        <v>3</v>
      </c>
      <c r="Z150" s="41">
        <v>0</v>
      </c>
      <c r="AA150" s="42">
        <v>160</v>
      </c>
      <c r="AB150" s="40">
        <f t="shared" si="5"/>
        <v>75.800000000000011</v>
      </c>
      <c r="AC150" s="43"/>
      <c r="AD150" s="41"/>
      <c r="AE150" s="41"/>
      <c r="AF150" s="41"/>
      <c r="AG150" s="41"/>
      <c r="AH150" s="41"/>
      <c r="AI150" s="41"/>
      <c r="AJ150" s="41"/>
      <c r="AK150" s="44">
        <f t="shared" si="4"/>
        <v>75.800000000000011</v>
      </c>
      <c r="AL150" s="81"/>
      <c r="AM150" s="81"/>
      <c r="AN150" s="44"/>
      <c r="AO150" s="46"/>
    </row>
    <row r="151" spans="1:41" ht="26.25" customHeight="1" x14ac:dyDescent="0.2">
      <c r="A151" s="34">
        <v>147</v>
      </c>
      <c r="B151" s="35" t="s">
        <v>363</v>
      </c>
      <c r="C151" s="36">
        <v>14267648</v>
      </c>
      <c r="D151" s="37" t="s">
        <v>81</v>
      </c>
      <c r="E151" s="37" t="s">
        <v>29</v>
      </c>
      <c r="F151" s="38" t="s">
        <v>242</v>
      </c>
      <c r="G151" s="38" t="s">
        <v>8</v>
      </c>
      <c r="H151" s="39">
        <v>31489</v>
      </c>
      <c r="I151" s="38" t="s">
        <v>10</v>
      </c>
      <c r="J151" s="40">
        <v>197.2</v>
      </c>
      <c r="K151" s="40">
        <v>38.299999999999997</v>
      </c>
      <c r="L151" s="40"/>
      <c r="M151" s="40"/>
      <c r="N151" s="40"/>
      <c r="O151" s="40"/>
      <c r="P151" s="40"/>
      <c r="Q151" s="40"/>
      <c r="R151" s="40"/>
      <c r="S151" s="40"/>
      <c r="T151" s="40"/>
      <c r="U151" s="40">
        <v>0</v>
      </c>
      <c r="V151" s="40">
        <v>0</v>
      </c>
      <c r="W151" s="41">
        <v>0</v>
      </c>
      <c r="X151" s="41">
        <v>0</v>
      </c>
      <c r="Y151" s="41">
        <v>0</v>
      </c>
      <c r="Z151" s="41">
        <v>0</v>
      </c>
      <c r="AA151" s="42">
        <v>320</v>
      </c>
      <c r="AB151" s="40">
        <f t="shared" si="5"/>
        <v>84.5</v>
      </c>
      <c r="AC151" s="43"/>
      <c r="AD151" s="41"/>
      <c r="AE151" s="41"/>
      <c r="AF151" s="41"/>
      <c r="AG151" s="41"/>
      <c r="AH151" s="41"/>
      <c r="AI151" s="41"/>
      <c r="AJ151" s="41"/>
      <c r="AK151" s="44">
        <f t="shared" si="4"/>
        <v>84.5</v>
      </c>
      <c r="AL151" s="45"/>
      <c r="AM151" s="45"/>
      <c r="AN151" s="44"/>
      <c r="AO151" s="46"/>
    </row>
    <row r="152" spans="1:41" ht="25.5" x14ac:dyDescent="0.2">
      <c r="A152" s="34">
        <v>148</v>
      </c>
      <c r="B152" s="35" t="s">
        <v>364</v>
      </c>
      <c r="C152" s="36">
        <v>16356361</v>
      </c>
      <c r="D152" s="37" t="s">
        <v>365</v>
      </c>
      <c r="E152" s="37" t="s">
        <v>198</v>
      </c>
      <c r="F152" s="37" t="s">
        <v>201</v>
      </c>
      <c r="G152" s="38" t="s">
        <v>8</v>
      </c>
      <c r="H152" s="39">
        <v>36923</v>
      </c>
      <c r="I152" s="38" t="s">
        <v>11</v>
      </c>
      <c r="J152" s="40">
        <v>60.1</v>
      </c>
      <c r="K152" s="40">
        <v>7.5</v>
      </c>
      <c r="L152" s="40">
        <v>1.5</v>
      </c>
      <c r="M152" s="40"/>
      <c r="N152" s="40">
        <v>32</v>
      </c>
      <c r="O152" s="40"/>
      <c r="P152" s="40">
        <v>3.6</v>
      </c>
      <c r="Q152" s="40">
        <v>27.5</v>
      </c>
      <c r="R152" s="40"/>
      <c r="S152" s="40">
        <v>27</v>
      </c>
      <c r="T152" s="40">
        <v>6</v>
      </c>
      <c r="U152" s="40">
        <v>54</v>
      </c>
      <c r="V152" s="40">
        <v>68.5</v>
      </c>
      <c r="W152" s="43">
        <v>12</v>
      </c>
      <c r="X152" s="43">
        <v>70.5</v>
      </c>
      <c r="Y152" s="43">
        <v>30</v>
      </c>
      <c r="Z152" s="43">
        <v>15</v>
      </c>
      <c r="AA152" s="42">
        <v>540</v>
      </c>
      <c r="AB152" s="40">
        <f t="shared" si="5"/>
        <v>124.80000000000001</v>
      </c>
      <c r="AC152" s="43"/>
      <c r="AD152" s="43"/>
      <c r="AE152" s="43"/>
      <c r="AF152" s="43"/>
      <c r="AG152" s="43"/>
      <c r="AH152" s="43"/>
      <c r="AI152" s="43"/>
      <c r="AJ152" s="43"/>
      <c r="AK152" s="44">
        <f t="shared" si="4"/>
        <v>124.80000000000001</v>
      </c>
      <c r="AL152" s="45"/>
      <c r="AM152" s="45"/>
      <c r="AN152" s="44"/>
      <c r="AO152" s="46"/>
    </row>
    <row r="153" spans="1:41" ht="25.5" x14ac:dyDescent="0.2">
      <c r="A153" s="34">
        <v>149</v>
      </c>
      <c r="B153" s="35" t="s">
        <v>366</v>
      </c>
      <c r="C153" s="36">
        <v>41885303</v>
      </c>
      <c r="D153" s="37" t="s">
        <v>365</v>
      </c>
      <c r="E153" s="37" t="s">
        <v>198</v>
      </c>
      <c r="F153" s="37" t="s">
        <v>201</v>
      </c>
      <c r="G153" s="38" t="s">
        <v>8</v>
      </c>
      <c r="H153" s="39">
        <v>35828</v>
      </c>
      <c r="I153" s="38" t="s">
        <v>11</v>
      </c>
      <c r="J153" s="40">
        <v>130.1</v>
      </c>
      <c r="K153" s="40">
        <v>48.4</v>
      </c>
      <c r="L153" s="40">
        <v>12.1</v>
      </c>
      <c r="M153" s="40">
        <v>2.7</v>
      </c>
      <c r="N153" s="40">
        <v>1.5</v>
      </c>
      <c r="O153" s="40">
        <v>12</v>
      </c>
      <c r="P153" s="40">
        <v>15</v>
      </c>
      <c r="Q153" s="40">
        <v>12</v>
      </c>
      <c r="R153" s="40">
        <v>18</v>
      </c>
      <c r="S153" s="40">
        <v>8.6999999999999993</v>
      </c>
      <c r="T153" s="40">
        <v>8</v>
      </c>
      <c r="U153" s="40">
        <v>3.4</v>
      </c>
      <c r="V153" s="40">
        <v>12.5</v>
      </c>
      <c r="W153" s="41">
        <v>9.3000000000000007</v>
      </c>
      <c r="X153" s="41">
        <v>25</v>
      </c>
      <c r="Y153" s="41">
        <v>22.5</v>
      </c>
      <c r="Z153" s="41">
        <v>8.6999999999999993</v>
      </c>
      <c r="AA153" s="42">
        <v>540</v>
      </c>
      <c r="AB153" s="40">
        <f t="shared" si="5"/>
        <v>190.10000000000002</v>
      </c>
      <c r="AC153" s="43"/>
      <c r="AD153" s="41"/>
      <c r="AE153" s="41"/>
      <c r="AF153" s="41"/>
      <c r="AG153" s="41"/>
      <c r="AH153" s="41"/>
      <c r="AI153" s="41"/>
      <c r="AJ153" s="41"/>
      <c r="AK153" s="44">
        <f t="shared" si="4"/>
        <v>190.10000000000002</v>
      </c>
      <c r="AL153" s="45"/>
      <c r="AM153" s="45"/>
      <c r="AN153" s="44"/>
      <c r="AO153" s="46"/>
    </row>
    <row r="154" spans="1:41" ht="25.5" x14ac:dyDescent="0.2">
      <c r="A154" s="34">
        <v>150</v>
      </c>
      <c r="B154" s="35" t="s">
        <v>367</v>
      </c>
      <c r="C154" s="36">
        <v>89006712</v>
      </c>
      <c r="D154" s="37" t="s">
        <v>78</v>
      </c>
      <c r="E154" s="37" t="s">
        <v>24</v>
      </c>
      <c r="F154" s="37" t="s">
        <v>21</v>
      </c>
      <c r="G154" s="38" t="s">
        <v>8</v>
      </c>
      <c r="H154" s="39">
        <v>41436</v>
      </c>
      <c r="I154" s="38" t="s">
        <v>10</v>
      </c>
      <c r="J154" s="40"/>
      <c r="K154" s="40"/>
      <c r="L154" s="40"/>
      <c r="M154" s="40"/>
      <c r="N154" s="40">
        <v>41.9</v>
      </c>
      <c r="O154" s="40"/>
      <c r="P154" s="40">
        <v>6</v>
      </c>
      <c r="Q154" s="40">
        <v>36</v>
      </c>
      <c r="R154" s="40">
        <v>12.5</v>
      </c>
      <c r="S154" s="40">
        <v>3</v>
      </c>
      <c r="T154" s="40"/>
      <c r="U154" s="40">
        <v>0</v>
      </c>
      <c r="V154" s="40">
        <v>0</v>
      </c>
      <c r="W154" s="41">
        <v>0</v>
      </c>
      <c r="X154" s="41">
        <v>8</v>
      </c>
      <c r="Y154" s="41">
        <v>0</v>
      </c>
      <c r="Z154" s="41">
        <v>8</v>
      </c>
      <c r="AA154" s="42">
        <v>320</v>
      </c>
      <c r="AB154" s="40">
        <f t="shared" si="5"/>
        <v>204.6</v>
      </c>
      <c r="AC154" s="43"/>
      <c r="AD154" s="41"/>
      <c r="AE154" s="41"/>
      <c r="AF154" s="41"/>
      <c r="AG154" s="41"/>
      <c r="AH154" s="41"/>
      <c r="AI154" s="41"/>
      <c r="AJ154" s="41"/>
      <c r="AK154" s="44">
        <f t="shared" si="4"/>
        <v>204.6</v>
      </c>
      <c r="AL154" s="45"/>
      <c r="AM154" s="45"/>
      <c r="AN154" s="44"/>
      <c r="AO154" s="46"/>
    </row>
    <row r="155" spans="1:41" ht="25.5" x14ac:dyDescent="0.2">
      <c r="A155" s="34">
        <v>151</v>
      </c>
      <c r="B155" s="35" t="s">
        <v>368</v>
      </c>
      <c r="C155" s="36">
        <v>10481831</v>
      </c>
      <c r="D155" s="37" t="s">
        <v>78</v>
      </c>
      <c r="E155" s="37" t="s">
        <v>24</v>
      </c>
      <c r="F155" s="37" t="s">
        <v>201</v>
      </c>
      <c r="G155" s="38" t="s">
        <v>8</v>
      </c>
      <c r="H155" s="39">
        <v>38800</v>
      </c>
      <c r="I155" s="38" t="s">
        <v>22</v>
      </c>
      <c r="J155" s="40">
        <v>7.5</v>
      </c>
      <c r="K155" s="40"/>
      <c r="L155" s="40"/>
      <c r="M155" s="40"/>
      <c r="N155" s="40"/>
      <c r="O155" s="40">
        <v>8</v>
      </c>
      <c r="P155" s="40"/>
      <c r="Q155" s="40"/>
      <c r="R155" s="40"/>
      <c r="S155" s="40"/>
      <c r="T155" s="40"/>
      <c r="U155" s="40">
        <v>0</v>
      </c>
      <c r="V155" s="40">
        <v>0</v>
      </c>
      <c r="W155" s="41">
        <v>0</v>
      </c>
      <c r="X155" s="41">
        <v>0</v>
      </c>
      <c r="Y155" s="41">
        <v>1.5</v>
      </c>
      <c r="Z155" s="41">
        <v>0</v>
      </c>
      <c r="AA155" s="42">
        <v>160</v>
      </c>
      <c r="AB155" s="40">
        <f t="shared" si="5"/>
        <v>143</v>
      </c>
      <c r="AC155" s="43"/>
      <c r="AD155" s="41"/>
      <c r="AE155" s="41"/>
      <c r="AF155" s="41"/>
      <c r="AG155" s="41"/>
      <c r="AH155" s="41"/>
      <c r="AI155" s="41"/>
      <c r="AJ155" s="41"/>
      <c r="AK155" s="44">
        <f t="shared" si="4"/>
        <v>143</v>
      </c>
      <c r="AL155" s="45"/>
      <c r="AM155" s="45"/>
      <c r="AN155" s="44"/>
      <c r="AO155" s="46"/>
    </row>
    <row r="156" spans="1:41" ht="25.5" x14ac:dyDescent="0.2">
      <c r="A156" s="34">
        <v>152</v>
      </c>
      <c r="B156" s="35" t="s">
        <v>369</v>
      </c>
      <c r="C156" s="36">
        <v>7528714</v>
      </c>
      <c r="D156" s="37" t="s">
        <v>78</v>
      </c>
      <c r="E156" s="37" t="s">
        <v>24</v>
      </c>
      <c r="F156" s="37" t="s">
        <v>311</v>
      </c>
      <c r="G156" s="38" t="s">
        <v>8</v>
      </c>
      <c r="H156" s="39">
        <v>38026</v>
      </c>
      <c r="I156" s="38" t="s">
        <v>11</v>
      </c>
      <c r="J156" s="40">
        <v>12.6</v>
      </c>
      <c r="K156" s="40"/>
      <c r="L156" s="40">
        <v>3</v>
      </c>
      <c r="M156" s="40"/>
      <c r="N156" s="40"/>
      <c r="O156" s="40"/>
      <c r="P156" s="40"/>
      <c r="Q156" s="40">
        <v>16</v>
      </c>
      <c r="R156" s="40">
        <v>12.8</v>
      </c>
      <c r="S156" s="40"/>
      <c r="T156" s="40">
        <v>9.5</v>
      </c>
      <c r="U156" s="40">
        <v>0</v>
      </c>
      <c r="V156" s="40">
        <v>0</v>
      </c>
      <c r="W156" s="41">
        <v>0</v>
      </c>
      <c r="X156" s="41">
        <v>0</v>
      </c>
      <c r="Y156" s="41">
        <v>0</v>
      </c>
      <c r="Z156" s="41">
        <v>0</v>
      </c>
      <c r="AA156" s="42">
        <v>540</v>
      </c>
      <c r="AB156" s="40">
        <f t="shared" si="5"/>
        <v>486.1</v>
      </c>
      <c r="AC156" s="43"/>
      <c r="AD156" s="41"/>
      <c r="AE156" s="41"/>
      <c r="AF156" s="41"/>
      <c r="AG156" s="41"/>
      <c r="AH156" s="41"/>
      <c r="AI156" s="41"/>
      <c r="AJ156" s="41"/>
      <c r="AK156" s="44">
        <f t="shared" si="4"/>
        <v>486.1</v>
      </c>
      <c r="AL156" s="45"/>
      <c r="AM156" s="45"/>
      <c r="AN156" s="44"/>
      <c r="AO156" s="46"/>
    </row>
    <row r="157" spans="1:41" ht="25.5" x14ac:dyDescent="0.2">
      <c r="A157" s="34">
        <v>153</v>
      </c>
      <c r="B157" s="35" t="s">
        <v>370</v>
      </c>
      <c r="C157" s="36">
        <v>52377890</v>
      </c>
      <c r="D157" s="37" t="s">
        <v>78</v>
      </c>
      <c r="E157" s="37" t="s">
        <v>24</v>
      </c>
      <c r="F157" s="37" t="s">
        <v>201</v>
      </c>
      <c r="G157" s="38" t="s">
        <v>8</v>
      </c>
      <c r="H157" s="39">
        <v>42955</v>
      </c>
      <c r="I157" s="38" t="s">
        <v>10</v>
      </c>
      <c r="J157" s="40"/>
      <c r="K157" s="40"/>
      <c r="L157" s="40"/>
      <c r="M157" s="40"/>
      <c r="N157" s="40"/>
      <c r="O157" s="40"/>
      <c r="P157" s="40"/>
      <c r="Q157" s="40"/>
      <c r="R157" s="40">
        <v>15</v>
      </c>
      <c r="S157" s="40"/>
      <c r="T157" s="40"/>
      <c r="U157" s="40">
        <v>0</v>
      </c>
      <c r="V157" s="40">
        <v>0</v>
      </c>
      <c r="W157" s="41">
        <v>6</v>
      </c>
      <c r="X157" s="41">
        <v>7.5</v>
      </c>
      <c r="Y157" s="41">
        <v>0</v>
      </c>
      <c r="Z157" s="41">
        <v>0</v>
      </c>
      <c r="AA157" s="42">
        <v>320</v>
      </c>
      <c r="AB157" s="40">
        <f t="shared" si="5"/>
        <v>291.5</v>
      </c>
      <c r="AC157" s="43"/>
      <c r="AD157" s="41"/>
      <c r="AE157" s="41"/>
      <c r="AF157" s="41"/>
      <c r="AG157" s="41"/>
      <c r="AH157" s="41"/>
      <c r="AI157" s="41"/>
      <c r="AJ157" s="41"/>
      <c r="AK157" s="44">
        <f t="shared" si="4"/>
        <v>291.5</v>
      </c>
      <c r="AL157" s="45"/>
      <c r="AM157" s="45"/>
      <c r="AN157" s="44"/>
      <c r="AO157" s="46"/>
    </row>
    <row r="158" spans="1:41" ht="38.25" x14ac:dyDescent="0.2">
      <c r="A158" s="34">
        <v>154</v>
      </c>
      <c r="B158" s="54" t="s">
        <v>371</v>
      </c>
      <c r="C158" s="55">
        <v>52079098</v>
      </c>
      <c r="D158" s="56" t="s">
        <v>78</v>
      </c>
      <c r="E158" s="56" t="s">
        <v>24</v>
      </c>
      <c r="F158" s="56" t="s">
        <v>201</v>
      </c>
      <c r="G158" s="57" t="s">
        <v>8</v>
      </c>
      <c r="H158" s="58">
        <v>39664</v>
      </c>
      <c r="I158" s="57" t="s">
        <v>11</v>
      </c>
      <c r="J158" s="59">
        <v>24.8</v>
      </c>
      <c r="K158" s="59"/>
      <c r="L158" s="59">
        <v>15</v>
      </c>
      <c r="M158" s="59"/>
      <c r="N158" s="59"/>
      <c r="O158" s="59">
        <v>12</v>
      </c>
      <c r="P158" s="59"/>
      <c r="Q158" s="59"/>
      <c r="R158" s="59"/>
      <c r="S158" s="59">
        <v>8.6</v>
      </c>
      <c r="T158" s="59">
        <v>8</v>
      </c>
      <c r="U158" s="59">
        <v>8</v>
      </c>
      <c r="V158" s="59">
        <v>4</v>
      </c>
      <c r="W158" s="60">
        <v>11.5</v>
      </c>
      <c r="X158" s="60">
        <v>0</v>
      </c>
      <c r="Y158" s="60">
        <v>0</v>
      </c>
      <c r="Z158" s="60">
        <v>21.4</v>
      </c>
      <c r="AA158" s="61">
        <v>540</v>
      </c>
      <c r="AB158" s="59">
        <f t="shared" si="5"/>
        <v>426.7</v>
      </c>
      <c r="AC158" s="62"/>
      <c r="AD158" s="60"/>
      <c r="AE158" s="60"/>
      <c r="AF158" s="60"/>
      <c r="AG158" s="60"/>
      <c r="AH158" s="60"/>
      <c r="AI158" s="60"/>
      <c r="AJ158" s="60"/>
      <c r="AK158" s="63">
        <f t="shared" si="4"/>
        <v>426.7</v>
      </c>
      <c r="AL158" s="64"/>
      <c r="AM158" s="64"/>
      <c r="AN158" s="67" t="s">
        <v>372</v>
      </c>
      <c r="AO158" s="68" t="s">
        <v>373</v>
      </c>
    </row>
    <row r="159" spans="1:41" ht="25.5" x14ac:dyDescent="0.2">
      <c r="A159" s="34">
        <v>155</v>
      </c>
      <c r="B159" s="35" t="s">
        <v>374</v>
      </c>
      <c r="C159" s="36">
        <v>24805870</v>
      </c>
      <c r="D159" s="37" t="s">
        <v>78</v>
      </c>
      <c r="E159" s="37" t="s">
        <v>24</v>
      </c>
      <c r="F159" s="37" t="s">
        <v>201</v>
      </c>
      <c r="G159" s="38" t="s">
        <v>8</v>
      </c>
      <c r="H159" s="39">
        <v>35836</v>
      </c>
      <c r="I159" s="38" t="s">
        <v>11</v>
      </c>
      <c r="J159" s="40">
        <v>72.7</v>
      </c>
      <c r="K159" s="40"/>
      <c r="L159" s="40">
        <v>3</v>
      </c>
      <c r="M159" s="40">
        <v>7</v>
      </c>
      <c r="N159" s="40"/>
      <c r="O159" s="40"/>
      <c r="P159" s="40">
        <v>13.5</v>
      </c>
      <c r="Q159" s="40">
        <v>15</v>
      </c>
      <c r="R159" s="40"/>
      <c r="S159" s="40">
        <v>6.8</v>
      </c>
      <c r="T159" s="40"/>
      <c r="U159" s="40">
        <v>15</v>
      </c>
      <c r="V159" s="40">
        <v>16.5</v>
      </c>
      <c r="W159" s="41">
        <v>0</v>
      </c>
      <c r="X159" s="41">
        <v>0</v>
      </c>
      <c r="Y159" s="41">
        <v>0</v>
      </c>
      <c r="Z159" s="41">
        <v>4</v>
      </c>
      <c r="AA159" s="42">
        <v>540</v>
      </c>
      <c r="AB159" s="40">
        <f t="shared" si="5"/>
        <v>386.5</v>
      </c>
      <c r="AC159" s="43"/>
      <c r="AD159" s="93"/>
      <c r="AE159" s="41"/>
      <c r="AF159" s="41"/>
      <c r="AG159" s="41"/>
      <c r="AH159" s="41"/>
      <c r="AI159" s="41"/>
      <c r="AJ159" s="41"/>
      <c r="AK159" s="44">
        <f t="shared" si="4"/>
        <v>386.5</v>
      </c>
      <c r="AL159" s="45"/>
      <c r="AM159" s="45"/>
      <c r="AN159" s="44"/>
      <c r="AO159" s="46"/>
    </row>
    <row r="160" spans="1:41" ht="25.5" x14ac:dyDescent="0.2">
      <c r="A160" s="34">
        <v>156</v>
      </c>
      <c r="B160" s="35" t="s">
        <v>375</v>
      </c>
      <c r="C160" s="36">
        <v>41906827</v>
      </c>
      <c r="D160" s="37" t="s">
        <v>78</v>
      </c>
      <c r="E160" s="37" t="s">
        <v>24</v>
      </c>
      <c r="F160" s="37" t="s">
        <v>17</v>
      </c>
      <c r="G160" s="38" t="s">
        <v>8</v>
      </c>
      <c r="H160" s="39">
        <v>35828</v>
      </c>
      <c r="I160" s="38" t="s">
        <v>10</v>
      </c>
      <c r="J160" s="40">
        <v>26.3</v>
      </c>
      <c r="K160" s="40"/>
      <c r="L160" s="40"/>
      <c r="M160" s="40">
        <v>15</v>
      </c>
      <c r="N160" s="40"/>
      <c r="O160" s="40"/>
      <c r="P160" s="40">
        <v>32</v>
      </c>
      <c r="Q160" s="40"/>
      <c r="R160" s="40"/>
      <c r="S160" s="40">
        <v>7.5</v>
      </c>
      <c r="T160" s="40">
        <v>15</v>
      </c>
      <c r="U160" s="40">
        <v>15</v>
      </c>
      <c r="V160" s="40">
        <v>0</v>
      </c>
      <c r="W160" s="41">
        <v>0</v>
      </c>
      <c r="X160" s="41">
        <v>7.5</v>
      </c>
      <c r="Y160" s="41">
        <v>6</v>
      </c>
      <c r="Z160" s="41">
        <v>0</v>
      </c>
      <c r="AA160" s="42">
        <v>320</v>
      </c>
      <c r="AB160" s="40">
        <f t="shared" si="5"/>
        <v>195.7</v>
      </c>
      <c r="AC160" s="43"/>
      <c r="AD160" s="41"/>
      <c r="AE160" s="41"/>
      <c r="AF160" s="41"/>
      <c r="AG160" s="41"/>
      <c r="AH160" s="41"/>
      <c r="AI160" s="41"/>
      <c r="AJ160" s="41"/>
      <c r="AK160" s="44">
        <f t="shared" si="4"/>
        <v>195.7</v>
      </c>
      <c r="AL160" s="45"/>
      <c r="AM160" s="45"/>
      <c r="AN160" s="44"/>
      <c r="AO160" s="46"/>
    </row>
    <row r="161" spans="1:41" ht="25.5" x14ac:dyDescent="0.2">
      <c r="A161" s="34">
        <v>157</v>
      </c>
      <c r="B161" s="35" t="s">
        <v>376</v>
      </c>
      <c r="C161" s="36">
        <v>75079723</v>
      </c>
      <c r="D161" s="37" t="s">
        <v>377</v>
      </c>
      <c r="E161" s="37" t="s">
        <v>24</v>
      </c>
      <c r="F161" s="38" t="s">
        <v>201</v>
      </c>
      <c r="G161" s="38" t="s">
        <v>8</v>
      </c>
      <c r="H161" s="39">
        <v>39664</v>
      </c>
      <c r="I161" s="38" t="s">
        <v>11</v>
      </c>
      <c r="J161" s="40"/>
      <c r="K161" s="40">
        <v>5</v>
      </c>
      <c r="L161" s="40"/>
      <c r="M161" s="40">
        <v>24</v>
      </c>
      <c r="N161" s="40">
        <v>19</v>
      </c>
      <c r="O161" s="40"/>
      <c r="P161" s="40">
        <v>18</v>
      </c>
      <c r="Q161" s="40">
        <v>23</v>
      </c>
      <c r="R161" s="40">
        <v>38</v>
      </c>
      <c r="S161" s="40"/>
      <c r="T161" s="40"/>
      <c r="U161" s="40">
        <v>0</v>
      </c>
      <c r="V161" s="40">
        <v>7</v>
      </c>
      <c r="W161" s="41">
        <v>0</v>
      </c>
      <c r="X161" s="41">
        <v>5</v>
      </c>
      <c r="Y161" s="41">
        <v>27.4</v>
      </c>
      <c r="Z161" s="41">
        <v>10</v>
      </c>
      <c r="AA161" s="42">
        <v>540</v>
      </c>
      <c r="AB161" s="40">
        <f t="shared" si="5"/>
        <v>363.6</v>
      </c>
      <c r="AC161" s="43"/>
      <c r="AD161" s="41"/>
      <c r="AE161" s="76"/>
      <c r="AF161" s="41"/>
      <c r="AG161" s="41"/>
      <c r="AH161" s="41"/>
      <c r="AI161" s="41"/>
      <c r="AJ161" s="41"/>
      <c r="AK161" s="44">
        <f t="shared" si="4"/>
        <v>363.6</v>
      </c>
      <c r="AL161" s="45"/>
      <c r="AM161" s="45"/>
      <c r="AN161" s="44"/>
      <c r="AO161" s="46"/>
    </row>
    <row r="162" spans="1:41" ht="25.5" x14ac:dyDescent="0.2">
      <c r="A162" s="34">
        <v>158</v>
      </c>
      <c r="B162" s="35" t="s">
        <v>378</v>
      </c>
      <c r="C162" s="36">
        <v>1094882594</v>
      </c>
      <c r="D162" s="37" t="s">
        <v>377</v>
      </c>
      <c r="E162" s="37" t="s">
        <v>24</v>
      </c>
      <c r="F162" s="38" t="s">
        <v>17</v>
      </c>
      <c r="G162" s="38" t="s">
        <v>8</v>
      </c>
      <c r="H162" s="39">
        <v>44963</v>
      </c>
      <c r="I162" s="38" t="s">
        <v>10</v>
      </c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1"/>
      <c r="X162" s="41">
        <v>43</v>
      </c>
      <c r="Y162" s="41">
        <v>23.1</v>
      </c>
      <c r="Z162" s="41">
        <v>35</v>
      </c>
      <c r="AA162" s="42">
        <v>320</v>
      </c>
      <c r="AB162" s="40">
        <f t="shared" si="5"/>
        <v>218.9</v>
      </c>
      <c r="AC162" s="43"/>
      <c r="AD162" s="41"/>
      <c r="AE162" s="76"/>
      <c r="AF162" s="41"/>
      <c r="AG162" s="41"/>
      <c r="AH162" s="41"/>
      <c r="AI162" s="41"/>
      <c r="AJ162" s="41"/>
      <c r="AK162" s="44">
        <f t="shared" si="4"/>
        <v>218.9</v>
      </c>
      <c r="AL162" s="65"/>
      <c r="AM162" s="45"/>
      <c r="AN162" s="44"/>
      <c r="AO162" s="46"/>
    </row>
    <row r="163" spans="1:41" ht="25.5" x14ac:dyDescent="0.2">
      <c r="A163" s="34">
        <v>159</v>
      </c>
      <c r="B163" s="35" t="s">
        <v>379</v>
      </c>
      <c r="C163" s="36">
        <v>7555178</v>
      </c>
      <c r="D163" s="37" t="s">
        <v>377</v>
      </c>
      <c r="E163" s="37" t="s">
        <v>24</v>
      </c>
      <c r="F163" s="38" t="s">
        <v>21</v>
      </c>
      <c r="G163" s="38" t="s">
        <v>8</v>
      </c>
      <c r="H163" s="39">
        <v>39664</v>
      </c>
      <c r="I163" s="38" t="s">
        <v>350</v>
      </c>
      <c r="J163" s="40">
        <v>58.8</v>
      </c>
      <c r="K163" s="40"/>
      <c r="L163" s="40">
        <v>1.5</v>
      </c>
      <c r="M163" s="40"/>
      <c r="N163" s="40">
        <v>4.5999999999999996</v>
      </c>
      <c r="O163" s="40">
        <v>5.2</v>
      </c>
      <c r="P163" s="40"/>
      <c r="Q163" s="40"/>
      <c r="R163" s="40"/>
      <c r="S163" s="40">
        <v>3</v>
      </c>
      <c r="T163" s="40"/>
      <c r="U163" s="40">
        <v>0</v>
      </c>
      <c r="V163" s="40">
        <v>41.9</v>
      </c>
      <c r="W163" s="41">
        <v>0</v>
      </c>
      <c r="X163" s="41">
        <v>0</v>
      </c>
      <c r="Y163" s="41">
        <v>0</v>
      </c>
      <c r="Z163" s="41">
        <v>14</v>
      </c>
      <c r="AA163" s="42">
        <v>320</v>
      </c>
      <c r="AB163" s="40">
        <f t="shared" si="5"/>
        <v>191</v>
      </c>
      <c r="AC163" s="43"/>
      <c r="AD163" s="41"/>
      <c r="AE163" s="41"/>
      <c r="AF163" s="41"/>
      <c r="AG163" s="41"/>
      <c r="AH163" s="41"/>
      <c r="AI163" s="41"/>
      <c r="AJ163" s="41"/>
      <c r="AK163" s="44">
        <f t="shared" si="4"/>
        <v>191</v>
      </c>
      <c r="AL163" s="45"/>
      <c r="AM163" s="45"/>
      <c r="AN163" s="44"/>
      <c r="AO163" s="46"/>
    </row>
    <row r="164" spans="1:41" ht="51" x14ac:dyDescent="0.2">
      <c r="A164" s="34">
        <v>160</v>
      </c>
      <c r="B164" s="35" t="s">
        <v>380</v>
      </c>
      <c r="C164" s="36">
        <v>17655304</v>
      </c>
      <c r="D164" s="37" t="s">
        <v>377</v>
      </c>
      <c r="E164" s="37" t="s">
        <v>24</v>
      </c>
      <c r="F164" s="38" t="s">
        <v>21</v>
      </c>
      <c r="G164" s="38" t="s">
        <v>8</v>
      </c>
      <c r="H164" s="39">
        <v>40947</v>
      </c>
      <c r="I164" s="38" t="s">
        <v>11</v>
      </c>
      <c r="J164" s="40"/>
      <c r="K164" s="40"/>
      <c r="L164" s="40"/>
      <c r="M164" s="40">
        <v>50.5</v>
      </c>
      <c r="N164" s="40">
        <v>21.6</v>
      </c>
      <c r="O164" s="40">
        <v>9.8000000000000007</v>
      </c>
      <c r="P164" s="40">
        <v>71.599999999999994</v>
      </c>
      <c r="Q164" s="40">
        <v>35</v>
      </c>
      <c r="R164" s="40">
        <v>35</v>
      </c>
      <c r="S164" s="40">
        <v>35</v>
      </c>
      <c r="T164" s="40">
        <v>35</v>
      </c>
      <c r="U164" s="40">
        <v>35</v>
      </c>
      <c r="V164" s="40">
        <v>35</v>
      </c>
      <c r="W164" s="41">
        <v>25.8</v>
      </c>
      <c r="X164" s="41">
        <v>28.6</v>
      </c>
      <c r="Y164" s="41">
        <v>43</v>
      </c>
      <c r="Z164" s="41">
        <v>35</v>
      </c>
      <c r="AA164" s="42">
        <v>540</v>
      </c>
      <c r="AB164" s="40">
        <f t="shared" si="5"/>
        <v>44.099999999999966</v>
      </c>
      <c r="AC164" s="43">
        <f>Pub_Rev_Index!X18</f>
        <v>8</v>
      </c>
      <c r="AD164" s="41"/>
      <c r="AE164" s="41"/>
      <c r="AF164" s="41"/>
      <c r="AG164" s="41"/>
      <c r="AH164" s="41"/>
      <c r="AI164" s="41"/>
      <c r="AJ164" s="41"/>
      <c r="AK164" s="44">
        <f t="shared" si="4"/>
        <v>36.099999999999966</v>
      </c>
      <c r="AL164" s="96"/>
      <c r="AM164" s="65"/>
      <c r="AN164" s="121"/>
      <c r="AO164" s="95" t="s">
        <v>1050</v>
      </c>
    </row>
    <row r="165" spans="1:41" ht="25.5" x14ac:dyDescent="0.2">
      <c r="A165" s="34">
        <v>161</v>
      </c>
      <c r="B165" s="35" t="s">
        <v>381</v>
      </c>
      <c r="C165" s="36">
        <v>16185584</v>
      </c>
      <c r="D165" s="37" t="s">
        <v>377</v>
      </c>
      <c r="E165" s="37" t="s">
        <v>24</v>
      </c>
      <c r="F165" s="38" t="s">
        <v>17</v>
      </c>
      <c r="G165" s="38" t="s">
        <v>8</v>
      </c>
      <c r="H165" s="39">
        <v>41466</v>
      </c>
      <c r="I165" s="38" t="s">
        <v>10</v>
      </c>
      <c r="J165" s="40"/>
      <c r="K165" s="40"/>
      <c r="L165" s="40"/>
      <c r="M165" s="40"/>
      <c r="N165" s="40">
        <v>46.2</v>
      </c>
      <c r="O165" s="40">
        <v>19.2</v>
      </c>
      <c r="P165" s="40">
        <v>24.2</v>
      </c>
      <c r="Q165" s="40"/>
      <c r="R165" s="40">
        <v>12.5</v>
      </c>
      <c r="S165" s="40">
        <v>6</v>
      </c>
      <c r="T165" s="40"/>
      <c r="U165" s="40">
        <v>0</v>
      </c>
      <c r="V165" s="40">
        <v>0</v>
      </c>
      <c r="W165" s="41">
        <v>22.5</v>
      </c>
      <c r="X165" s="41">
        <v>0</v>
      </c>
      <c r="Y165" s="41">
        <v>0</v>
      </c>
      <c r="Z165" s="41">
        <v>0</v>
      </c>
      <c r="AA165" s="42">
        <v>320</v>
      </c>
      <c r="AB165" s="40">
        <f t="shared" si="5"/>
        <v>189.39999999999998</v>
      </c>
      <c r="AC165" s="43"/>
      <c r="AD165" s="41"/>
      <c r="AE165" s="41"/>
      <c r="AF165" s="41"/>
      <c r="AG165" s="41"/>
      <c r="AH165" s="41"/>
      <c r="AI165" s="41"/>
      <c r="AJ165" s="41"/>
      <c r="AK165" s="44">
        <f t="shared" si="4"/>
        <v>189.39999999999998</v>
      </c>
      <c r="AL165" s="45"/>
      <c r="AM165" s="45"/>
      <c r="AN165" s="44"/>
      <c r="AO165" s="46"/>
    </row>
    <row r="166" spans="1:41" s="169" customFormat="1" ht="25.5" x14ac:dyDescent="0.2">
      <c r="A166" s="428">
        <v>162</v>
      </c>
      <c r="B166" s="86" t="s">
        <v>382</v>
      </c>
      <c r="C166" s="87">
        <v>1094885534</v>
      </c>
      <c r="D166" s="89" t="s">
        <v>377</v>
      </c>
      <c r="E166" s="89" t="s">
        <v>24</v>
      </c>
      <c r="F166" s="88" t="s">
        <v>21</v>
      </c>
      <c r="G166" s="88" t="s">
        <v>8</v>
      </c>
      <c r="H166" s="90">
        <v>44963</v>
      </c>
      <c r="I166" s="88" t="s">
        <v>10</v>
      </c>
      <c r="J166" s="91"/>
      <c r="K166" s="91"/>
      <c r="L166" s="91"/>
      <c r="M166" s="91"/>
      <c r="N166" s="91"/>
      <c r="O166" s="91"/>
      <c r="P166" s="91"/>
      <c r="Q166" s="91"/>
      <c r="R166" s="91"/>
      <c r="S166" s="91"/>
      <c r="T166" s="91"/>
      <c r="U166" s="91"/>
      <c r="V166" s="91"/>
      <c r="W166" s="93"/>
      <c r="X166" s="93">
        <v>66</v>
      </c>
      <c r="Y166" s="93">
        <v>31.1</v>
      </c>
      <c r="Z166" s="93">
        <v>50</v>
      </c>
      <c r="AA166" s="92">
        <v>320</v>
      </c>
      <c r="AB166" s="91">
        <f t="shared" si="5"/>
        <v>172.9</v>
      </c>
      <c r="AC166" s="93"/>
      <c r="AD166" s="93"/>
      <c r="AE166" s="93"/>
      <c r="AF166" s="93"/>
      <c r="AG166" s="93"/>
      <c r="AH166" s="93"/>
      <c r="AI166" s="93"/>
      <c r="AJ166" s="93"/>
      <c r="AK166" s="100">
        <f t="shared" si="4"/>
        <v>172.9</v>
      </c>
      <c r="AL166" s="50"/>
      <c r="AM166" s="50"/>
      <c r="AN166" s="100"/>
      <c r="AO166" s="302"/>
    </row>
    <row r="167" spans="1:41" ht="21" customHeight="1" x14ac:dyDescent="0.2">
      <c r="A167" s="34">
        <v>163</v>
      </c>
      <c r="B167" s="35" t="s">
        <v>383</v>
      </c>
      <c r="C167" s="36">
        <v>7532303</v>
      </c>
      <c r="D167" s="37" t="s">
        <v>384</v>
      </c>
      <c r="E167" s="37" t="s">
        <v>24</v>
      </c>
      <c r="F167" s="38" t="s">
        <v>17</v>
      </c>
      <c r="G167" s="38" t="s">
        <v>8</v>
      </c>
      <c r="H167" s="39">
        <v>35828</v>
      </c>
      <c r="I167" s="38" t="s">
        <v>11</v>
      </c>
      <c r="J167" s="40">
        <v>14.9</v>
      </c>
      <c r="K167" s="40"/>
      <c r="L167" s="40"/>
      <c r="M167" s="40"/>
      <c r="N167" s="40"/>
      <c r="O167" s="40">
        <v>1.5</v>
      </c>
      <c r="P167" s="40">
        <v>13</v>
      </c>
      <c r="Q167" s="40"/>
      <c r="R167" s="40">
        <v>52.4</v>
      </c>
      <c r="S167" s="40">
        <v>47.8</v>
      </c>
      <c r="T167" s="40">
        <v>24.8</v>
      </c>
      <c r="U167" s="40">
        <v>14.2</v>
      </c>
      <c r="V167" s="40">
        <v>59</v>
      </c>
      <c r="W167" s="41">
        <v>29</v>
      </c>
      <c r="X167" s="41">
        <v>14.9</v>
      </c>
      <c r="Y167" s="41">
        <v>48.1</v>
      </c>
      <c r="Z167" s="41">
        <v>35</v>
      </c>
      <c r="AA167" s="42">
        <v>540</v>
      </c>
      <c r="AB167" s="40">
        <f t="shared" si="5"/>
        <v>185.39999999999998</v>
      </c>
      <c r="AC167" s="43"/>
      <c r="AD167" s="41"/>
      <c r="AE167" s="41"/>
      <c r="AF167" s="41"/>
      <c r="AG167" s="41"/>
      <c r="AH167" s="41"/>
      <c r="AI167" s="41"/>
      <c r="AJ167" s="41"/>
      <c r="AK167" s="44">
        <f t="shared" si="4"/>
        <v>185.39999999999998</v>
      </c>
      <c r="AL167" s="96"/>
      <c r="AM167" s="65"/>
      <c r="AN167" s="44"/>
      <c r="AO167" s="46"/>
    </row>
    <row r="168" spans="1:41" ht="21" customHeight="1" x14ac:dyDescent="0.2">
      <c r="A168" s="34">
        <v>164</v>
      </c>
      <c r="B168" s="35" t="s">
        <v>385</v>
      </c>
      <c r="C168" s="36">
        <v>41931649</v>
      </c>
      <c r="D168" s="37" t="s">
        <v>384</v>
      </c>
      <c r="E168" s="37" t="s">
        <v>24</v>
      </c>
      <c r="F168" s="38" t="s">
        <v>21</v>
      </c>
      <c r="G168" s="38" t="s">
        <v>8</v>
      </c>
      <c r="H168" s="39">
        <v>41872</v>
      </c>
      <c r="I168" s="38" t="s">
        <v>11</v>
      </c>
      <c r="J168" s="40"/>
      <c r="K168" s="40"/>
      <c r="L168" s="40"/>
      <c r="M168" s="40"/>
      <c r="N168" s="40"/>
      <c r="O168" s="40">
        <v>4.5</v>
      </c>
      <c r="P168" s="49"/>
      <c r="Q168" s="40">
        <v>33.5</v>
      </c>
      <c r="R168" s="40"/>
      <c r="S168" s="40">
        <v>40.299999999999997</v>
      </c>
      <c r="T168" s="40">
        <v>14.7</v>
      </c>
      <c r="U168" s="40">
        <v>0</v>
      </c>
      <c r="V168" s="40">
        <v>58.5</v>
      </c>
      <c r="W168" s="41">
        <v>29</v>
      </c>
      <c r="X168" s="41">
        <v>14.9</v>
      </c>
      <c r="Y168" s="41">
        <v>29</v>
      </c>
      <c r="Z168" s="41">
        <v>0</v>
      </c>
      <c r="AA168" s="42">
        <v>540</v>
      </c>
      <c r="AB168" s="40">
        <f t="shared" si="5"/>
        <v>315.60000000000002</v>
      </c>
      <c r="AC168" s="43"/>
      <c r="AD168" s="41"/>
      <c r="AE168" s="41"/>
      <c r="AF168" s="41"/>
      <c r="AG168" s="41"/>
      <c r="AH168" s="41"/>
      <c r="AI168" s="41"/>
      <c r="AJ168" s="41"/>
      <c r="AK168" s="44">
        <f t="shared" si="4"/>
        <v>315.60000000000002</v>
      </c>
      <c r="AL168" s="50"/>
      <c r="AM168" s="45"/>
      <c r="AN168" s="44"/>
      <c r="AO168" s="46"/>
    </row>
    <row r="169" spans="1:41" ht="21" customHeight="1" x14ac:dyDescent="0.2">
      <c r="A169" s="34">
        <v>165</v>
      </c>
      <c r="B169" s="35" t="s">
        <v>386</v>
      </c>
      <c r="C169" s="36">
        <v>7554769</v>
      </c>
      <c r="D169" s="37" t="s">
        <v>384</v>
      </c>
      <c r="E169" s="37" t="s">
        <v>24</v>
      </c>
      <c r="F169" s="38" t="s">
        <v>17</v>
      </c>
      <c r="G169" s="38" t="s">
        <v>8</v>
      </c>
      <c r="H169" s="39">
        <v>35326</v>
      </c>
      <c r="I169" s="38" t="s">
        <v>11</v>
      </c>
      <c r="J169" s="40">
        <v>22.8</v>
      </c>
      <c r="K169" s="40"/>
      <c r="L169" s="40">
        <v>13.2</v>
      </c>
      <c r="M169" s="40"/>
      <c r="N169" s="40">
        <v>14.3</v>
      </c>
      <c r="O169" s="40"/>
      <c r="P169" s="40">
        <v>14.2</v>
      </c>
      <c r="Q169" s="40"/>
      <c r="R169" s="40">
        <v>16.2</v>
      </c>
      <c r="S169" s="40">
        <v>11.9</v>
      </c>
      <c r="T169" s="40"/>
      <c r="U169" s="40">
        <v>0</v>
      </c>
      <c r="V169" s="40">
        <v>13.8</v>
      </c>
      <c r="W169" s="41">
        <v>24.9</v>
      </c>
      <c r="X169" s="41">
        <v>0</v>
      </c>
      <c r="Y169" s="41">
        <v>14.3</v>
      </c>
      <c r="Z169" s="41">
        <v>0</v>
      </c>
      <c r="AA169" s="42">
        <v>540</v>
      </c>
      <c r="AB169" s="40">
        <f t="shared" si="5"/>
        <v>394.4</v>
      </c>
      <c r="AC169" s="43"/>
      <c r="AD169" s="41"/>
      <c r="AE169" s="41"/>
      <c r="AF169" s="41"/>
      <c r="AG169" s="41"/>
      <c r="AH169" s="41"/>
      <c r="AI169" s="41"/>
      <c r="AJ169" s="41"/>
      <c r="AK169" s="44">
        <f t="shared" si="4"/>
        <v>394.4</v>
      </c>
      <c r="AL169" s="45"/>
      <c r="AM169" s="45"/>
      <c r="AN169" s="44"/>
      <c r="AO169" s="46"/>
    </row>
    <row r="170" spans="1:41" ht="21" customHeight="1" x14ac:dyDescent="0.2">
      <c r="A170" s="34">
        <v>166</v>
      </c>
      <c r="B170" s="35" t="s">
        <v>387</v>
      </c>
      <c r="C170" s="36">
        <v>7555343</v>
      </c>
      <c r="D170" s="37" t="s">
        <v>384</v>
      </c>
      <c r="E170" s="37" t="s">
        <v>24</v>
      </c>
      <c r="F170" s="38" t="s">
        <v>201</v>
      </c>
      <c r="G170" s="38" t="s">
        <v>8</v>
      </c>
      <c r="H170" s="39">
        <v>34171</v>
      </c>
      <c r="I170" s="38" t="s">
        <v>11</v>
      </c>
      <c r="J170" s="40">
        <v>10</v>
      </c>
      <c r="K170" s="40">
        <v>3</v>
      </c>
      <c r="L170" s="40"/>
      <c r="M170" s="40"/>
      <c r="N170" s="40"/>
      <c r="O170" s="40"/>
      <c r="P170" s="40"/>
      <c r="Q170" s="40">
        <v>3</v>
      </c>
      <c r="R170" s="40">
        <v>8</v>
      </c>
      <c r="S170" s="40"/>
      <c r="T170" s="40"/>
      <c r="U170" s="40">
        <v>0</v>
      </c>
      <c r="V170" s="40">
        <v>28.3</v>
      </c>
      <c r="W170" s="41">
        <v>24.9</v>
      </c>
      <c r="X170" s="41">
        <v>0</v>
      </c>
      <c r="Y170" s="41">
        <v>0</v>
      </c>
      <c r="Z170" s="41">
        <v>0</v>
      </c>
      <c r="AA170" s="42">
        <v>540</v>
      </c>
      <c r="AB170" s="40">
        <f t="shared" si="5"/>
        <v>462.8</v>
      </c>
      <c r="AC170" s="43"/>
      <c r="AD170" s="41"/>
      <c r="AE170" s="41"/>
      <c r="AF170" s="41"/>
      <c r="AG170" s="41"/>
      <c r="AH170" s="41"/>
      <c r="AI170" s="41"/>
      <c r="AJ170" s="41"/>
      <c r="AK170" s="44">
        <f t="shared" si="4"/>
        <v>462.8</v>
      </c>
      <c r="AL170" s="45"/>
      <c r="AM170" s="45"/>
      <c r="AN170" s="44"/>
      <c r="AO170" s="46"/>
    </row>
    <row r="171" spans="1:41" ht="21" customHeight="1" x14ac:dyDescent="0.2">
      <c r="A171" s="34">
        <v>167</v>
      </c>
      <c r="B171" s="35" t="s">
        <v>388</v>
      </c>
      <c r="C171" s="36">
        <v>41885800</v>
      </c>
      <c r="D171" s="37" t="s">
        <v>384</v>
      </c>
      <c r="E171" s="37" t="s">
        <v>24</v>
      </c>
      <c r="F171" s="38" t="s">
        <v>17</v>
      </c>
      <c r="G171" s="38" t="s">
        <v>8</v>
      </c>
      <c r="H171" s="39">
        <v>32554</v>
      </c>
      <c r="I171" s="38" t="s">
        <v>11</v>
      </c>
      <c r="J171" s="40"/>
      <c r="K171" s="40">
        <v>12</v>
      </c>
      <c r="L171" s="40"/>
      <c r="M171" s="40"/>
      <c r="N171" s="40"/>
      <c r="O171" s="40">
        <v>1.5</v>
      </c>
      <c r="P171" s="40"/>
      <c r="Q171" s="40"/>
      <c r="R171" s="40"/>
      <c r="S171" s="40"/>
      <c r="T171" s="40"/>
      <c r="U171" s="40">
        <v>8</v>
      </c>
      <c r="V171" s="40">
        <v>17.600000000000001</v>
      </c>
      <c r="W171" s="41">
        <v>14.8</v>
      </c>
      <c r="X171" s="41">
        <v>0</v>
      </c>
      <c r="Y171" s="41">
        <v>0</v>
      </c>
      <c r="Z171" s="41">
        <v>0</v>
      </c>
      <c r="AA171" s="42">
        <v>540</v>
      </c>
      <c r="AB171" s="40">
        <f t="shared" si="5"/>
        <v>486.1</v>
      </c>
      <c r="AC171" s="43"/>
      <c r="AD171" s="41"/>
      <c r="AE171" s="41"/>
      <c r="AF171" s="41"/>
      <c r="AG171" s="41"/>
      <c r="AH171" s="41"/>
      <c r="AI171" s="41"/>
      <c r="AJ171" s="41"/>
      <c r="AK171" s="44">
        <f t="shared" si="4"/>
        <v>486.1</v>
      </c>
      <c r="AL171" s="41"/>
      <c r="AM171" s="45"/>
      <c r="AN171" s="44"/>
      <c r="AO171" s="46"/>
    </row>
    <row r="172" spans="1:41" ht="25.5" x14ac:dyDescent="0.2">
      <c r="A172" s="34">
        <v>168</v>
      </c>
      <c r="B172" s="35" t="s">
        <v>389</v>
      </c>
      <c r="C172" s="36">
        <v>41936764</v>
      </c>
      <c r="D172" s="37" t="s">
        <v>390</v>
      </c>
      <c r="E172" s="37" t="s">
        <v>24</v>
      </c>
      <c r="F172" s="38" t="s">
        <v>21</v>
      </c>
      <c r="G172" s="38" t="s">
        <v>8</v>
      </c>
      <c r="H172" s="39">
        <v>41872</v>
      </c>
      <c r="I172" s="38" t="s">
        <v>11</v>
      </c>
      <c r="J172" s="40"/>
      <c r="K172" s="40"/>
      <c r="L172" s="40"/>
      <c r="M172" s="40"/>
      <c r="N172" s="40"/>
      <c r="O172" s="40"/>
      <c r="P172" s="40">
        <v>11.6</v>
      </c>
      <c r="Q172" s="40"/>
      <c r="R172" s="40">
        <v>8</v>
      </c>
      <c r="S172" s="40"/>
      <c r="T172" s="40">
        <v>13.2</v>
      </c>
      <c r="U172" s="40">
        <v>7.5</v>
      </c>
      <c r="V172" s="40">
        <v>3</v>
      </c>
      <c r="W172" s="41">
        <v>20</v>
      </c>
      <c r="X172" s="41">
        <v>0</v>
      </c>
      <c r="Y172" s="41">
        <v>0</v>
      </c>
      <c r="Z172" s="41">
        <v>27.7</v>
      </c>
      <c r="AA172" s="42">
        <v>540</v>
      </c>
      <c r="AB172" s="40">
        <f t="shared" si="5"/>
        <v>449</v>
      </c>
      <c r="AC172" s="43"/>
      <c r="AD172" s="41"/>
      <c r="AE172" s="41"/>
      <c r="AF172" s="41"/>
      <c r="AG172" s="41"/>
      <c r="AH172" s="41"/>
      <c r="AI172" s="41"/>
      <c r="AJ172" s="41"/>
      <c r="AK172" s="44">
        <f t="shared" si="4"/>
        <v>449</v>
      </c>
      <c r="AL172" s="45"/>
      <c r="AM172" s="45"/>
      <c r="AN172" s="44"/>
      <c r="AO172" s="46"/>
    </row>
    <row r="173" spans="1:41" ht="25.5" x14ac:dyDescent="0.2">
      <c r="A173" s="34">
        <v>169</v>
      </c>
      <c r="B173" s="35" t="s">
        <v>391</v>
      </c>
      <c r="C173" s="36">
        <v>7561489</v>
      </c>
      <c r="D173" s="37" t="s">
        <v>390</v>
      </c>
      <c r="E173" s="37" t="s">
        <v>24</v>
      </c>
      <c r="F173" s="38" t="s">
        <v>17</v>
      </c>
      <c r="G173" s="38" t="s">
        <v>8</v>
      </c>
      <c r="H173" s="39">
        <v>39664</v>
      </c>
      <c r="I173" s="38" t="s">
        <v>62</v>
      </c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>
        <v>0</v>
      </c>
      <c r="V173" s="40">
        <v>0</v>
      </c>
      <c r="W173" s="41">
        <v>0</v>
      </c>
      <c r="X173" s="41">
        <v>0</v>
      </c>
      <c r="Y173" s="41">
        <v>0</v>
      </c>
      <c r="Z173" s="41">
        <v>0</v>
      </c>
      <c r="AA173" s="42">
        <v>80</v>
      </c>
      <c r="AB173" s="40">
        <f t="shared" si="5"/>
        <v>80</v>
      </c>
      <c r="AC173" s="43"/>
      <c r="AD173" s="41"/>
      <c r="AE173" s="41"/>
      <c r="AF173" s="41"/>
      <c r="AG173" s="41"/>
      <c r="AH173" s="41"/>
      <c r="AI173" s="41"/>
      <c r="AJ173" s="41"/>
      <c r="AK173" s="44">
        <f t="shared" si="4"/>
        <v>80</v>
      </c>
      <c r="AL173" s="45"/>
      <c r="AM173" s="45"/>
      <c r="AN173" s="44"/>
      <c r="AO173" s="46"/>
    </row>
    <row r="174" spans="1:41" ht="25.5" x14ac:dyDescent="0.2">
      <c r="A174" s="34">
        <v>170</v>
      </c>
      <c r="B174" s="35" t="s">
        <v>392</v>
      </c>
      <c r="C174" s="36">
        <v>1094911213</v>
      </c>
      <c r="D174" s="37" t="s">
        <v>390</v>
      </c>
      <c r="E174" s="37" t="s">
        <v>24</v>
      </c>
      <c r="F174" s="38" t="s">
        <v>17</v>
      </c>
      <c r="G174" s="38" t="s">
        <v>8</v>
      </c>
      <c r="H174" s="39">
        <v>43864</v>
      </c>
      <c r="I174" s="38" t="s">
        <v>10</v>
      </c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>
        <v>26.5</v>
      </c>
      <c r="V174" s="40">
        <v>3</v>
      </c>
      <c r="W174" s="41">
        <v>20</v>
      </c>
      <c r="X174" s="41">
        <v>13.7</v>
      </c>
      <c r="Y174" s="41">
        <v>3</v>
      </c>
      <c r="Z174" s="41">
        <v>27.7</v>
      </c>
      <c r="AA174" s="42">
        <v>320</v>
      </c>
      <c r="AB174" s="40">
        <f t="shared" si="5"/>
        <v>226.1</v>
      </c>
      <c r="AC174" s="43"/>
      <c r="AD174" s="41"/>
      <c r="AE174" s="41"/>
      <c r="AF174" s="41"/>
      <c r="AG174" s="41"/>
      <c r="AH174" s="41"/>
      <c r="AI174" s="41"/>
      <c r="AJ174" s="41"/>
      <c r="AK174" s="44">
        <f t="shared" si="4"/>
        <v>226.1</v>
      </c>
      <c r="AL174" s="45"/>
      <c r="AM174" s="45"/>
      <c r="AN174" s="44"/>
      <c r="AO174" s="46"/>
    </row>
    <row r="175" spans="1:41" ht="25.5" x14ac:dyDescent="0.2">
      <c r="A175" s="34">
        <v>171</v>
      </c>
      <c r="B175" s="35" t="s">
        <v>393</v>
      </c>
      <c r="C175" s="36">
        <v>52105400</v>
      </c>
      <c r="D175" s="37" t="s">
        <v>390</v>
      </c>
      <c r="E175" s="37" t="s">
        <v>24</v>
      </c>
      <c r="F175" s="38" t="s">
        <v>17</v>
      </c>
      <c r="G175" s="38" t="s">
        <v>8</v>
      </c>
      <c r="H175" s="39">
        <v>40947</v>
      </c>
      <c r="I175" s="38" t="s">
        <v>62</v>
      </c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>
        <v>0</v>
      </c>
      <c r="V175" s="40">
        <v>0</v>
      </c>
      <c r="W175" s="41">
        <v>0</v>
      </c>
      <c r="X175" s="41">
        <v>0</v>
      </c>
      <c r="Y175" s="41">
        <v>0</v>
      </c>
      <c r="Z175" s="41">
        <v>0</v>
      </c>
      <c r="AA175" s="42">
        <v>80</v>
      </c>
      <c r="AB175" s="40">
        <f t="shared" si="5"/>
        <v>80</v>
      </c>
      <c r="AC175" s="43"/>
      <c r="AD175" s="41"/>
      <c r="AE175" s="41"/>
      <c r="AF175" s="41"/>
      <c r="AG175" s="41"/>
      <c r="AH175" s="41"/>
      <c r="AI175" s="41"/>
      <c r="AJ175" s="41"/>
      <c r="AK175" s="44">
        <f t="shared" si="4"/>
        <v>80</v>
      </c>
      <c r="AL175" s="45"/>
      <c r="AM175" s="45"/>
      <c r="AN175" s="44"/>
      <c r="AO175" s="46"/>
    </row>
    <row r="176" spans="1:41" ht="25.5" x14ac:dyDescent="0.2">
      <c r="A176" s="34">
        <v>172</v>
      </c>
      <c r="B176" s="35" t="s">
        <v>394</v>
      </c>
      <c r="C176" s="122">
        <v>18387759</v>
      </c>
      <c r="D176" s="37" t="s">
        <v>390</v>
      </c>
      <c r="E176" s="37" t="s">
        <v>24</v>
      </c>
      <c r="F176" s="38" t="s">
        <v>17</v>
      </c>
      <c r="G176" s="38" t="s">
        <v>8</v>
      </c>
      <c r="H176" s="39">
        <v>40947</v>
      </c>
      <c r="I176" s="38" t="s">
        <v>10</v>
      </c>
      <c r="J176" s="40"/>
      <c r="K176" s="40"/>
      <c r="L176" s="40"/>
      <c r="M176" s="40"/>
      <c r="N176" s="40"/>
      <c r="O176" s="40"/>
      <c r="P176" s="40"/>
      <c r="Q176" s="40"/>
      <c r="R176" s="40">
        <v>8</v>
      </c>
      <c r="S176" s="40"/>
      <c r="T176" s="40">
        <v>3</v>
      </c>
      <c r="U176" s="40">
        <v>0</v>
      </c>
      <c r="V176" s="40">
        <v>0</v>
      </c>
      <c r="W176" s="41">
        <v>13.2</v>
      </c>
      <c r="X176" s="41">
        <v>0</v>
      </c>
      <c r="Y176" s="41">
        <v>0</v>
      </c>
      <c r="Z176" s="41">
        <v>3</v>
      </c>
      <c r="AA176" s="42">
        <v>320</v>
      </c>
      <c r="AB176" s="40">
        <f t="shared" si="5"/>
        <v>292.8</v>
      </c>
      <c r="AC176" s="43"/>
      <c r="AD176" s="41"/>
      <c r="AE176" s="41"/>
      <c r="AF176" s="41"/>
      <c r="AG176" s="41"/>
      <c r="AH176" s="41"/>
      <c r="AI176" s="41"/>
      <c r="AJ176" s="41"/>
      <c r="AK176" s="44">
        <f t="shared" si="4"/>
        <v>292.8</v>
      </c>
      <c r="AL176" s="41"/>
      <c r="AM176" s="45"/>
      <c r="AN176" s="44"/>
      <c r="AO176" s="46"/>
    </row>
    <row r="177" spans="1:41" ht="25.5" x14ac:dyDescent="0.2">
      <c r="A177" s="34">
        <v>173</v>
      </c>
      <c r="B177" s="35" t="s">
        <v>395</v>
      </c>
      <c r="C177" s="36">
        <v>1094909209</v>
      </c>
      <c r="D177" s="37" t="s">
        <v>390</v>
      </c>
      <c r="E177" s="37" t="s">
        <v>24</v>
      </c>
      <c r="F177" s="38" t="s">
        <v>17</v>
      </c>
      <c r="G177" s="38" t="s">
        <v>8</v>
      </c>
      <c r="H177" s="39">
        <v>41673</v>
      </c>
      <c r="I177" s="38" t="s">
        <v>62</v>
      </c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>
        <v>0</v>
      </c>
      <c r="V177" s="40">
        <v>0</v>
      </c>
      <c r="W177" s="41">
        <v>0</v>
      </c>
      <c r="X177" s="41">
        <v>0</v>
      </c>
      <c r="Y177" s="41">
        <v>0</v>
      </c>
      <c r="Z177" s="41">
        <v>0</v>
      </c>
      <c r="AA177" s="42">
        <v>80</v>
      </c>
      <c r="AB177" s="40">
        <f t="shared" si="5"/>
        <v>80</v>
      </c>
      <c r="AC177" s="43"/>
      <c r="AD177" s="41"/>
      <c r="AE177" s="41"/>
      <c r="AF177" s="41"/>
      <c r="AG177" s="41"/>
      <c r="AH177" s="41"/>
      <c r="AI177" s="41"/>
      <c r="AJ177" s="41"/>
      <c r="AK177" s="44">
        <f t="shared" si="4"/>
        <v>80</v>
      </c>
      <c r="AL177" s="45"/>
      <c r="AM177" s="45"/>
      <c r="AN177" s="44"/>
      <c r="AO177" s="46"/>
    </row>
    <row r="178" spans="1:41" ht="25.5" x14ac:dyDescent="0.2">
      <c r="A178" s="34">
        <v>174</v>
      </c>
      <c r="B178" s="35" t="s">
        <v>396</v>
      </c>
      <c r="C178" s="36">
        <v>10122357</v>
      </c>
      <c r="D178" s="37" t="s">
        <v>390</v>
      </c>
      <c r="E178" s="37" t="s">
        <v>24</v>
      </c>
      <c r="F178" s="38" t="s">
        <v>17</v>
      </c>
      <c r="G178" s="38" t="s">
        <v>8</v>
      </c>
      <c r="H178" s="39">
        <v>38040</v>
      </c>
      <c r="I178" s="38" t="s">
        <v>22</v>
      </c>
      <c r="J178" s="40"/>
      <c r="K178" s="40"/>
      <c r="L178" s="40"/>
      <c r="M178" s="40"/>
      <c r="N178" s="40"/>
      <c r="O178" s="40"/>
      <c r="P178" s="40"/>
      <c r="Q178" s="40"/>
      <c r="R178" s="40"/>
      <c r="S178" s="40">
        <v>13.3</v>
      </c>
      <c r="T178" s="40"/>
      <c r="U178" s="40">
        <v>0</v>
      </c>
      <c r="V178" s="40">
        <v>0</v>
      </c>
      <c r="W178" s="41">
        <v>0</v>
      </c>
      <c r="X178" s="41">
        <v>0</v>
      </c>
      <c r="Y178" s="41">
        <v>0</v>
      </c>
      <c r="Z178" s="41">
        <v>0</v>
      </c>
      <c r="AA178" s="42">
        <v>160</v>
      </c>
      <c r="AB178" s="40">
        <f t="shared" si="5"/>
        <v>146.69999999999999</v>
      </c>
      <c r="AC178" s="43"/>
      <c r="AD178" s="41"/>
      <c r="AE178" s="41"/>
      <c r="AF178" s="41"/>
      <c r="AG178" s="41"/>
      <c r="AH178" s="41"/>
      <c r="AI178" s="41"/>
      <c r="AJ178" s="41"/>
      <c r="AK178" s="44">
        <f t="shared" si="4"/>
        <v>146.69999999999999</v>
      </c>
      <c r="AL178" s="45"/>
      <c r="AM178" s="45"/>
      <c r="AN178" s="44"/>
      <c r="AO178" s="46"/>
    </row>
    <row r="179" spans="1:41" ht="25.5" x14ac:dyDescent="0.2">
      <c r="A179" s="34">
        <v>175</v>
      </c>
      <c r="B179" s="35" t="s">
        <v>397</v>
      </c>
      <c r="C179" s="36">
        <v>41959302</v>
      </c>
      <c r="D179" s="37" t="s">
        <v>390</v>
      </c>
      <c r="E179" s="37" t="s">
        <v>24</v>
      </c>
      <c r="F179" s="38" t="s">
        <v>21</v>
      </c>
      <c r="G179" s="38" t="s">
        <v>8</v>
      </c>
      <c r="H179" s="39">
        <v>44963</v>
      </c>
      <c r="I179" s="38" t="s">
        <v>22</v>
      </c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1"/>
      <c r="X179" s="41">
        <v>34.200000000000003</v>
      </c>
      <c r="Y179" s="41">
        <v>0</v>
      </c>
      <c r="Z179" s="41">
        <v>35</v>
      </c>
      <c r="AA179" s="42">
        <v>160</v>
      </c>
      <c r="AB179" s="40">
        <f t="shared" si="5"/>
        <v>90.8</v>
      </c>
      <c r="AC179" s="43"/>
      <c r="AD179" s="41"/>
      <c r="AE179" s="41"/>
      <c r="AF179" s="41"/>
      <c r="AG179" s="41"/>
      <c r="AH179" s="41"/>
      <c r="AI179" s="41"/>
      <c r="AJ179" s="41"/>
      <c r="AK179" s="44">
        <f t="shared" si="4"/>
        <v>90.8</v>
      </c>
      <c r="AL179" s="65"/>
      <c r="AM179" s="45"/>
      <c r="AN179" s="44"/>
      <c r="AO179" s="46"/>
    </row>
    <row r="180" spans="1:41" ht="25.5" x14ac:dyDescent="0.2">
      <c r="A180" s="34">
        <v>176</v>
      </c>
      <c r="B180" s="35" t="s">
        <v>398</v>
      </c>
      <c r="C180" s="36">
        <v>1102042502</v>
      </c>
      <c r="D180" s="37" t="s">
        <v>390</v>
      </c>
      <c r="E180" s="37" t="s">
        <v>24</v>
      </c>
      <c r="F180" s="38" t="s">
        <v>21</v>
      </c>
      <c r="G180" s="38" t="s">
        <v>8</v>
      </c>
      <c r="H180" s="39">
        <v>44963</v>
      </c>
      <c r="I180" s="38" t="s">
        <v>22</v>
      </c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1"/>
      <c r="X180" s="41">
        <v>13.7</v>
      </c>
      <c r="Y180" s="41">
        <v>26.7</v>
      </c>
      <c r="Z180" s="41">
        <v>29.5</v>
      </c>
      <c r="AA180" s="42">
        <v>160</v>
      </c>
      <c r="AB180" s="40">
        <f t="shared" si="5"/>
        <v>90.1</v>
      </c>
      <c r="AC180" s="43">
        <f>Pub_Rev_Index!X7</f>
        <v>8</v>
      </c>
      <c r="AD180" s="41"/>
      <c r="AE180" s="41"/>
      <c r="AF180" s="41"/>
      <c r="AG180" s="41"/>
      <c r="AH180" s="41"/>
      <c r="AI180" s="41"/>
      <c r="AJ180" s="41"/>
      <c r="AK180" s="44">
        <f t="shared" si="4"/>
        <v>82.1</v>
      </c>
      <c r="AL180" s="44"/>
      <c r="AM180" s="45"/>
      <c r="AN180" s="44"/>
      <c r="AO180" s="46"/>
    </row>
    <row r="181" spans="1:41" ht="25.5" x14ac:dyDescent="0.2">
      <c r="A181" s="34">
        <v>177</v>
      </c>
      <c r="B181" s="35" t="s">
        <v>399</v>
      </c>
      <c r="C181" s="36">
        <v>41937649</v>
      </c>
      <c r="D181" s="37" t="s">
        <v>390</v>
      </c>
      <c r="E181" s="37" t="s">
        <v>24</v>
      </c>
      <c r="F181" s="38" t="s">
        <v>17</v>
      </c>
      <c r="G181" s="38" t="s">
        <v>8</v>
      </c>
      <c r="H181" s="39">
        <v>42955</v>
      </c>
      <c r="I181" s="38" t="s">
        <v>22</v>
      </c>
      <c r="J181" s="40"/>
      <c r="K181" s="40"/>
      <c r="L181" s="40"/>
      <c r="M181" s="40"/>
      <c r="N181" s="40"/>
      <c r="O181" s="40"/>
      <c r="P181" s="40"/>
      <c r="Q181" s="40"/>
      <c r="R181" s="40"/>
      <c r="S181" s="40">
        <v>13.3</v>
      </c>
      <c r="T181" s="40">
        <v>5.2</v>
      </c>
      <c r="U181" s="40">
        <v>0</v>
      </c>
      <c r="V181" s="40">
        <v>0</v>
      </c>
      <c r="W181" s="41">
        <v>0</v>
      </c>
      <c r="X181" s="41">
        <v>0</v>
      </c>
      <c r="Y181" s="41">
        <v>0</v>
      </c>
      <c r="Z181" s="41">
        <v>0</v>
      </c>
      <c r="AA181" s="42">
        <v>160</v>
      </c>
      <c r="AB181" s="40">
        <f t="shared" si="5"/>
        <v>141.5</v>
      </c>
      <c r="AC181" s="43"/>
      <c r="AD181" s="41"/>
      <c r="AE181" s="41"/>
      <c r="AF181" s="41"/>
      <c r="AG181" s="41"/>
      <c r="AH181" s="41"/>
      <c r="AI181" s="41"/>
      <c r="AJ181" s="41"/>
      <c r="AK181" s="44">
        <f t="shared" si="4"/>
        <v>141.5</v>
      </c>
      <c r="AL181" s="45"/>
      <c r="AM181" s="45"/>
      <c r="AN181" s="44"/>
      <c r="AO181" s="46"/>
    </row>
    <row r="182" spans="1:41" ht="38.25" x14ac:dyDescent="0.2">
      <c r="A182" s="34">
        <v>178</v>
      </c>
      <c r="B182" s="35" t="s">
        <v>400</v>
      </c>
      <c r="C182" s="36">
        <v>89000820</v>
      </c>
      <c r="D182" s="37" t="s">
        <v>390</v>
      </c>
      <c r="E182" s="37" t="s">
        <v>24</v>
      </c>
      <c r="F182" s="38" t="s">
        <v>17</v>
      </c>
      <c r="G182" s="38" t="s">
        <v>8</v>
      </c>
      <c r="H182" s="39">
        <v>41889</v>
      </c>
      <c r="I182" s="38" t="s">
        <v>22</v>
      </c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>
        <v>0</v>
      </c>
      <c r="V182" s="40">
        <v>0</v>
      </c>
      <c r="W182" s="41">
        <v>0</v>
      </c>
      <c r="X182" s="41">
        <v>0</v>
      </c>
      <c r="Y182" s="41">
        <v>12.4</v>
      </c>
      <c r="Z182" s="41">
        <v>8</v>
      </c>
      <c r="AA182" s="42">
        <v>160</v>
      </c>
      <c r="AB182" s="40">
        <f t="shared" si="5"/>
        <v>139.6</v>
      </c>
      <c r="AC182" s="43"/>
      <c r="AD182" s="41"/>
      <c r="AE182" s="41"/>
      <c r="AF182" s="41"/>
      <c r="AG182" s="41"/>
      <c r="AH182" s="41"/>
      <c r="AI182" s="41"/>
      <c r="AJ182" s="41"/>
      <c r="AK182" s="44">
        <f t="shared" si="4"/>
        <v>139.6</v>
      </c>
      <c r="AL182" s="44"/>
      <c r="AM182" s="45"/>
      <c r="AN182" s="51" t="s">
        <v>401</v>
      </c>
      <c r="AO182" s="333" t="s">
        <v>1045</v>
      </c>
    </row>
    <row r="183" spans="1:41" ht="25.5" x14ac:dyDescent="0.2">
      <c r="A183" s="34">
        <v>179</v>
      </c>
      <c r="B183" s="35" t="s">
        <v>403</v>
      </c>
      <c r="C183" s="36">
        <v>42007084</v>
      </c>
      <c r="D183" s="37" t="s">
        <v>390</v>
      </c>
      <c r="E183" s="37" t="s">
        <v>24</v>
      </c>
      <c r="F183" s="38" t="s">
        <v>201</v>
      </c>
      <c r="G183" s="38" t="s">
        <v>8</v>
      </c>
      <c r="H183" s="39">
        <v>37165</v>
      </c>
      <c r="I183" s="38" t="s">
        <v>11</v>
      </c>
      <c r="J183" s="40">
        <v>16.5</v>
      </c>
      <c r="K183" s="40"/>
      <c r="L183" s="40"/>
      <c r="M183" s="40"/>
      <c r="N183" s="40"/>
      <c r="O183" s="40"/>
      <c r="P183" s="40"/>
      <c r="Q183" s="40"/>
      <c r="R183" s="40">
        <v>5</v>
      </c>
      <c r="S183" s="40"/>
      <c r="T183" s="40"/>
      <c r="U183" s="40">
        <v>0</v>
      </c>
      <c r="V183" s="40">
        <v>8</v>
      </c>
      <c r="W183" s="41">
        <v>2.8</v>
      </c>
      <c r="X183" s="41">
        <v>0</v>
      </c>
      <c r="Y183" s="41">
        <v>0</v>
      </c>
      <c r="Z183" s="41">
        <v>14.2</v>
      </c>
      <c r="AA183" s="42">
        <v>540</v>
      </c>
      <c r="AB183" s="40">
        <f t="shared" si="5"/>
        <v>493.5</v>
      </c>
      <c r="AC183" s="43"/>
      <c r="AD183" s="41"/>
      <c r="AE183" s="41"/>
      <c r="AF183" s="41"/>
      <c r="AG183" s="41"/>
      <c r="AH183" s="41"/>
      <c r="AI183" s="41"/>
      <c r="AJ183" s="41"/>
      <c r="AK183" s="44">
        <f t="shared" si="4"/>
        <v>493.5</v>
      </c>
      <c r="AL183" s="45"/>
      <c r="AM183" s="45"/>
      <c r="AN183" s="44"/>
      <c r="AO183" s="46"/>
    </row>
    <row r="184" spans="1:41" ht="25.5" x14ac:dyDescent="0.2">
      <c r="A184" s="34">
        <v>180</v>
      </c>
      <c r="B184" s="35" t="s">
        <v>404</v>
      </c>
      <c r="C184" s="36">
        <v>1094880877</v>
      </c>
      <c r="D184" s="37" t="s">
        <v>390</v>
      </c>
      <c r="E184" s="37" t="s">
        <v>24</v>
      </c>
      <c r="F184" s="38" t="s">
        <v>17</v>
      </c>
      <c r="G184" s="38" t="s">
        <v>8</v>
      </c>
      <c r="H184" s="39">
        <v>44963</v>
      </c>
      <c r="I184" s="38" t="s">
        <v>22</v>
      </c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1"/>
      <c r="X184" s="41">
        <v>38</v>
      </c>
      <c r="Y184" s="41">
        <v>35</v>
      </c>
      <c r="Z184" s="41">
        <v>19</v>
      </c>
      <c r="AA184" s="42">
        <v>160</v>
      </c>
      <c r="AB184" s="40">
        <f t="shared" si="5"/>
        <v>68</v>
      </c>
      <c r="AC184" s="43"/>
      <c r="AD184" s="41"/>
      <c r="AE184" s="41"/>
      <c r="AF184" s="41"/>
      <c r="AG184" s="41"/>
      <c r="AH184" s="41"/>
      <c r="AI184" s="41"/>
      <c r="AJ184" s="41"/>
      <c r="AK184" s="44">
        <f t="shared" si="4"/>
        <v>68</v>
      </c>
      <c r="AL184" s="50"/>
      <c r="AM184" s="45"/>
      <c r="AN184" s="44"/>
      <c r="AO184" s="46"/>
    </row>
    <row r="185" spans="1:41" ht="25.5" x14ac:dyDescent="0.2">
      <c r="A185" s="34">
        <v>181</v>
      </c>
      <c r="B185" s="35" t="s">
        <v>405</v>
      </c>
      <c r="C185" s="36">
        <v>94501347</v>
      </c>
      <c r="D185" s="37" t="s">
        <v>406</v>
      </c>
      <c r="E185" s="37" t="s">
        <v>24</v>
      </c>
      <c r="F185" s="37" t="s">
        <v>21</v>
      </c>
      <c r="G185" s="38" t="s">
        <v>8</v>
      </c>
      <c r="H185" s="39">
        <v>41673</v>
      </c>
      <c r="I185" s="38" t="s">
        <v>11</v>
      </c>
      <c r="J185" s="40"/>
      <c r="K185" s="40"/>
      <c r="L185" s="40"/>
      <c r="M185" s="40"/>
      <c r="N185" s="40"/>
      <c r="O185" s="40">
        <v>49.2</v>
      </c>
      <c r="P185" s="123"/>
      <c r="Q185" s="123"/>
      <c r="R185" s="40"/>
      <c r="S185" s="40">
        <v>13.2</v>
      </c>
      <c r="T185" s="40"/>
      <c r="U185" s="40">
        <v>0</v>
      </c>
      <c r="V185" s="40">
        <v>3</v>
      </c>
      <c r="W185" s="41">
        <v>3</v>
      </c>
      <c r="X185" s="41">
        <v>4</v>
      </c>
      <c r="Y185" s="41">
        <v>0</v>
      </c>
      <c r="Z185" s="41">
        <v>14.9</v>
      </c>
      <c r="AA185" s="42">
        <v>540</v>
      </c>
      <c r="AB185" s="40">
        <f t="shared" si="5"/>
        <v>452.7</v>
      </c>
      <c r="AC185" s="43"/>
      <c r="AD185" s="41"/>
      <c r="AE185" s="41"/>
      <c r="AF185" s="41"/>
      <c r="AG185" s="41"/>
      <c r="AH185" s="41"/>
      <c r="AI185" s="41"/>
      <c r="AJ185" s="41"/>
      <c r="AK185" s="44">
        <f t="shared" si="4"/>
        <v>452.7</v>
      </c>
      <c r="AL185" s="45"/>
      <c r="AM185" s="45"/>
      <c r="AN185" s="44"/>
      <c r="AO185" s="46"/>
    </row>
    <row r="186" spans="1:41" ht="25.5" x14ac:dyDescent="0.2">
      <c r="A186" s="34">
        <v>182</v>
      </c>
      <c r="B186" s="35" t="s">
        <v>407</v>
      </c>
      <c r="C186" s="36">
        <v>70121452</v>
      </c>
      <c r="D186" s="37" t="s">
        <v>406</v>
      </c>
      <c r="E186" s="37" t="s">
        <v>24</v>
      </c>
      <c r="F186" s="37" t="s">
        <v>17</v>
      </c>
      <c r="G186" s="38" t="s">
        <v>8</v>
      </c>
      <c r="H186" s="39">
        <v>38376</v>
      </c>
      <c r="I186" s="38" t="s">
        <v>22</v>
      </c>
      <c r="J186" s="40"/>
      <c r="K186" s="40"/>
      <c r="L186" s="40"/>
      <c r="M186" s="40">
        <v>14.8</v>
      </c>
      <c r="N186" s="40"/>
      <c r="O186" s="40">
        <v>3</v>
      </c>
      <c r="P186" s="40"/>
      <c r="Q186" s="40"/>
      <c r="R186" s="40"/>
      <c r="S186" s="40"/>
      <c r="T186" s="40"/>
      <c r="U186" s="40">
        <v>0</v>
      </c>
      <c r="V186" s="40">
        <v>0</v>
      </c>
      <c r="W186" s="41">
        <v>0</v>
      </c>
      <c r="X186" s="41">
        <v>0</v>
      </c>
      <c r="Y186" s="41">
        <v>0</v>
      </c>
      <c r="Z186" s="41">
        <v>0</v>
      </c>
      <c r="AA186" s="42">
        <v>160</v>
      </c>
      <c r="AB186" s="40">
        <f t="shared" si="5"/>
        <v>142.19999999999999</v>
      </c>
      <c r="AC186" s="43"/>
      <c r="AD186" s="41"/>
      <c r="AE186" s="41"/>
      <c r="AF186" s="41"/>
      <c r="AG186" s="41"/>
      <c r="AH186" s="41"/>
      <c r="AI186" s="41"/>
      <c r="AJ186" s="41"/>
      <c r="AK186" s="44">
        <f t="shared" si="4"/>
        <v>142.19999999999999</v>
      </c>
      <c r="AL186" s="45"/>
      <c r="AM186" s="45"/>
      <c r="AN186" s="44"/>
      <c r="AO186" s="46"/>
    </row>
    <row r="187" spans="1:41" ht="25.5" x14ac:dyDescent="0.2">
      <c r="A187" s="34">
        <v>183</v>
      </c>
      <c r="B187" s="35" t="s">
        <v>408</v>
      </c>
      <c r="C187" s="36">
        <v>8152735</v>
      </c>
      <c r="D187" s="37" t="s">
        <v>406</v>
      </c>
      <c r="E187" s="37" t="s">
        <v>24</v>
      </c>
      <c r="F187" s="38" t="s">
        <v>201</v>
      </c>
      <c r="G187" s="38" t="s">
        <v>8</v>
      </c>
      <c r="H187" s="39">
        <v>40203</v>
      </c>
      <c r="I187" s="38" t="s">
        <v>10</v>
      </c>
      <c r="J187" s="40"/>
      <c r="K187" s="40">
        <v>22.1</v>
      </c>
      <c r="L187" s="40">
        <v>3</v>
      </c>
      <c r="M187" s="40">
        <v>17.3</v>
      </c>
      <c r="N187" s="40">
        <v>16</v>
      </c>
      <c r="O187" s="40"/>
      <c r="P187" s="40">
        <v>6</v>
      </c>
      <c r="Q187" s="40"/>
      <c r="R187" s="40">
        <v>12</v>
      </c>
      <c r="S187" s="40"/>
      <c r="T187" s="40">
        <v>20.3</v>
      </c>
      <c r="U187" s="40">
        <v>0</v>
      </c>
      <c r="V187" s="40">
        <v>19</v>
      </c>
      <c r="W187" s="41">
        <v>9</v>
      </c>
      <c r="X187" s="41">
        <v>24</v>
      </c>
      <c r="Y187" s="41">
        <v>0</v>
      </c>
      <c r="Z187" s="41">
        <v>16</v>
      </c>
      <c r="AA187" s="42">
        <v>320</v>
      </c>
      <c r="AB187" s="40">
        <f t="shared" si="5"/>
        <v>155.30000000000001</v>
      </c>
      <c r="AC187" s="43"/>
      <c r="AD187" s="41"/>
      <c r="AE187" s="41"/>
      <c r="AF187" s="41"/>
      <c r="AG187" s="41"/>
      <c r="AH187" s="41"/>
      <c r="AI187" s="41"/>
      <c r="AJ187" s="41"/>
      <c r="AK187" s="44">
        <f t="shared" si="4"/>
        <v>155.30000000000001</v>
      </c>
      <c r="AL187" s="45"/>
      <c r="AM187" s="45"/>
      <c r="AN187" s="44"/>
      <c r="AO187" s="46"/>
    </row>
    <row r="188" spans="1:41" ht="25.5" x14ac:dyDescent="0.2">
      <c r="A188" s="34">
        <v>184</v>
      </c>
      <c r="B188" s="35" t="s">
        <v>409</v>
      </c>
      <c r="C188" s="36">
        <v>9739108</v>
      </c>
      <c r="D188" s="37" t="s">
        <v>406</v>
      </c>
      <c r="E188" s="37" t="s">
        <v>24</v>
      </c>
      <c r="F188" s="37" t="s">
        <v>201</v>
      </c>
      <c r="G188" s="38" t="s">
        <v>8</v>
      </c>
      <c r="H188" s="39">
        <v>41673</v>
      </c>
      <c r="I188" s="38" t="s">
        <v>10</v>
      </c>
      <c r="J188" s="40"/>
      <c r="K188" s="40"/>
      <c r="L188" s="40"/>
      <c r="M188" s="40"/>
      <c r="N188" s="40"/>
      <c r="O188" s="40">
        <v>14</v>
      </c>
      <c r="P188" s="40">
        <v>6</v>
      </c>
      <c r="Q188" s="40">
        <v>22.3</v>
      </c>
      <c r="R188" s="40">
        <v>15</v>
      </c>
      <c r="S188" s="40">
        <v>7</v>
      </c>
      <c r="T188" s="40"/>
      <c r="U188" s="40">
        <v>3</v>
      </c>
      <c r="V188" s="40">
        <v>0</v>
      </c>
      <c r="W188" s="41">
        <v>0</v>
      </c>
      <c r="X188" s="41">
        <v>0</v>
      </c>
      <c r="Y188" s="41">
        <v>0</v>
      </c>
      <c r="Z188" s="41">
        <v>0</v>
      </c>
      <c r="AA188" s="42">
        <v>320</v>
      </c>
      <c r="AB188" s="40">
        <f t="shared" si="5"/>
        <v>252.7</v>
      </c>
      <c r="AC188" s="43"/>
      <c r="AD188" s="41"/>
      <c r="AE188" s="41"/>
      <c r="AF188" s="41"/>
      <c r="AG188" s="41"/>
      <c r="AH188" s="41"/>
      <c r="AI188" s="41"/>
      <c r="AJ188" s="41"/>
      <c r="AK188" s="44">
        <f t="shared" si="4"/>
        <v>252.7</v>
      </c>
      <c r="AL188" s="45"/>
      <c r="AM188" s="45"/>
      <c r="AN188" s="44"/>
      <c r="AO188" s="46"/>
    </row>
    <row r="189" spans="1:41" ht="25.5" x14ac:dyDescent="0.2">
      <c r="A189" s="34">
        <v>185</v>
      </c>
      <c r="B189" s="35" t="s">
        <v>410</v>
      </c>
      <c r="C189" s="36">
        <v>41943583</v>
      </c>
      <c r="D189" s="37" t="s">
        <v>406</v>
      </c>
      <c r="E189" s="37" t="s">
        <v>24</v>
      </c>
      <c r="F189" s="37" t="s">
        <v>21</v>
      </c>
      <c r="G189" s="38" t="s">
        <v>8</v>
      </c>
      <c r="H189" s="39">
        <v>44963</v>
      </c>
      <c r="I189" s="38" t="s">
        <v>22</v>
      </c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1"/>
      <c r="X189" s="41">
        <v>49.3</v>
      </c>
      <c r="Y189" s="41">
        <v>3</v>
      </c>
      <c r="Z189" s="41">
        <v>0</v>
      </c>
      <c r="AA189" s="42">
        <v>160</v>
      </c>
      <c r="AB189" s="40">
        <f t="shared" si="5"/>
        <v>107.7</v>
      </c>
      <c r="AC189" s="43"/>
      <c r="AD189" s="43"/>
      <c r="AE189" s="43"/>
      <c r="AF189" s="43"/>
      <c r="AG189" s="43"/>
      <c r="AH189" s="43"/>
      <c r="AI189" s="43"/>
      <c r="AJ189" s="43"/>
      <c r="AK189" s="44">
        <f t="shared" si="4"/>
        <v>107.7</v>
      </c>
      <c r="AL189" s="45"/>
      <c r="AM189" s="45"/>
      <c r="AN189" s="44"/>
      <c r="AO189" s="46"/>
    </row>
    <row r="190" spans="1:41" ht="25.5" x14ac:dyDescent="0.2">
      <c r="A190" s="34">
        <v>186</v>
      </c>
      <c r="B190" s="35" t="s">
        <v>411</v>
      </c>
      <c r="C190" s="36">
        <v>9772119</v>
      </c>
      <c r="D190" s="37" t="s">
        <v>406</v>
      </c>
      <c r="E190" s="37" t="s">
        <v>24</v>
      </c>
      <c r="F190" s="37" t="s">
        <v>17</v>
      </c>
      <c r="G190" s="38" t="s">
        <v>8</v>
      </c>
      <c r="H190" s="39">
        <v>42955</v>
      </c>
      <c r="I190" s="38" t="s">
        <v>10</v>
      </c>
      <c r="J190" s="40"/>
      <c r="K190" s="40"/>
      <c r="L190" s="40"/>
      <c r="M190" s="40"/>
      <c r="N190" s="40"/>
      <c r="O190" s="40"/>
      <c r="P190" s="40"/>
      <c r="Q190" s="40"/>
      <c r="R190" s="40">
        <v>34</v>
      </c>
      <c r="S190" s="40"/>
      <c r="T190" s="40">
        <v>21.5</v>
      </c>
      <c r="U190" s="40">
        <v>3</v>
      </c>
      <c r="V190" s="40">
        <v>3</v>
      </c>
      <c r="W190" s="41">
        <v>0</v>
      </c>
      <c r="X190" s="41">
        <v>0</v>
      </c>
      <c r="Y190" s="41">
        <v>0</v>
      </c>
      <c r="Z190" s="41">
        <v>16</v>
      </c>
      <c r="AA190" s="42">
        <v>320</v>
      </c>
      <c r="AB190" s="40">
        <f t="shared" si="5"/>
        <v>242.5</v>
      </c>
      <c r="AC190" s="43"/>
      <c r="AD190" s="41"/>
      <c r="AE190" s="41"/>
      <c r="AF190" s="41"/>
      <c r="AG190" s="41"/>
      <c r="AH190" s="41"/>
      <c r="AI190" s="41"/>
      <c r="AJ190" s="41"/>
      <c r="AK190" s="44">
        <f t="shared" si="4"/>
        <v>242.5</v>
      </c>
      <c r="AL190" s="45"/>
      <c r="AM190" s="45"/>
      <c r="AN190" s="44"/>
      <c r="AO190" s="46"/>
    </row>
    <row r="191" spans="1:41" ht="21" customHeight="1" x14ac:dyDescent="0.2">
      <c r="A191" s="34">
        <v>187</v>
      </c>
      <c r="B191" s="35" t="s">
        <v>412</v>
      </c>
      <c r="C191" s="36">
        <v>18390797</v>
      </c>
      <c r="D191" s="38" t="s">
        <v>413</v>
      </c>
      <c r="E191" s="37" t="s">
        <v>24</v>
      </c>
      <c r="F191" s="38" t="s">
        <v>17</v>
      </c>
      <c r="G191" s="38" t="s">
        <v>8</v>
      </c>
      <c r="H191" s="39">
        <v>38875</v>
      </c>
      <c r="I191" s="38" t="s">
        <v>414</v>
      </c>
      <c r="J191" s="40">
        <v>123</v>
      </c>
      <c r="K191" s="40"/>
      <c r="L191" s="40">
        <v>17.600000000000001</v>
      </c>
      <c r="M191" s="40"/>
      <c r="N191" s="40">
        <v>11</v>
      </c>
      <c r="O191" s="40">
        <v>13.7</v>
      </c>
      <c r="P191" s="40"/>
      <c r="Q191" s="40">
        <v>48.2</v>
      </c>
      <c r="R191" s="40">
        <v>20.6</v>
      </c>
      <c r="S191" s="40">
        <v>104.6</v>
      </c>
      <c r="T191" s="40">
        <v>42.7</v>
      </c>
      <c r="U191" s="40">
        <v>0</v>
      </c>
      <c r="V191" s="40">
        <v>7.9</v>
      </c>
      <c r="W191" s="41">
        <v>16</v>
      </c>
      <c r="X191" s="41">
        <v>31.5</v>
      </c>
      <c r="Y191" s="41">
        <v>25.5</v>
      </c>
      <c r="Z191" s="41">
        <v>26.200000000000003</v>
      </c>
      <c r="AA191" s="42">
        <v>540</v>
      </c>
      <c r="AB191" s="40">
        <f t="shared" si="5"/>
        <v>51.500000000000057</v>
      </c>
      <c r="AC191" s="43"/>
      <c r="AD191" s="41"/>
      <c r="AE191" s="41"/>
      <c r="AF191" s="41"/>
      <c r="AG191" s="41"/>
      <c r="AH191" s="41"/>
      <c r="AI191" s="41"/>
      <c r="AJ191" s="41"/>
      <c r="AK191" s="44">
        <f t="shared" si="4"/>
        <v>51.500000000000057</v>
      </c>
      <c r="AL191" s="65"/>
      <c r="AM191" s="45"/>
      <c r="AN191" s="44"/>
      <c r="AO191" s="46"/>
    </row>
    <row r="192" spans="1:41" ht="21" customHeight="1" x14ac:dyDescent="0.2">
      <c r="A192" s="34">
        <v>188</v>
      </c>
      <c r="B192" s="35" t="s">
        <v>415</v>
      </c>
      <c r="C192" s="36">
        <v>4376943</v>
      </c>
      <c r="D192" s="38" t="s">
        <v>413</v>
      </c>
      <c r="E192" s="37" t="s">
        <v>24</v>
      </c>
      <c r="F192" s="38" t="s">
        <v>201</v>
      </c>
      <c r="G192" s="38" t="s">
        <v>8</v>
      </c>
      <c r="H192" s="39">
        <v>38027</v>
      </c>
      <c r="I192" s="38" t="s">
        <v>11</v>
      </c>
      <c r="J192" s="40">
        <v>77.900000000000006</v>
      </c>
      <c r="K192" s="40"/>
      <c r="L192" s="40">
        <v>15</v>
      </c>
      <c r="M192" s="40"/>
      <c r="N192" s="40">
        <v>60.3</v>
      </c>
      <c r="O192" s="40">
        <v>46.5</v>
      </c>
      <c r="P192" s="40">
        <v>77.3</v>
      </c>
      <c r="Q192" s="40">
        <v>43</v>
      </c>
      <c r="R192" s="40"/>
      <c r="S192" s="40">
        <v>37.700000000000003</v>
      </c>
      <c r="T192" s="40">
        <v>27.7</v>
      </c>
      <c r="U192" s="40">
        <v>0</v>
      </c>
      <c r="V192" s="40">
        <v>36</v>
      </c>
      <c r="W192" s="41">
        <v>8.3000000000000007</v>
      </c>
      <c r="X192" s="41">
        <v>15</v>
      </c>
      <c r="Y192" s="41">
        <v>15</v>
      </c>
      <c r="Z192" s="41">
        <v>4</v>
      </c>
      <c r="AA192" s="42">
        <v>540</v>
      </c>
      <c r="AB192" s="40">
        <f t="shared" si="5"/>
        <v>76.300000000000011</v>
      </c>
      <c r="AC192" s="43"/>
      <c r="AD192" s="41"/>
      <c r="AE192" s="43"/>
      <c r="AF192" s="41"/>
      <c r="AG192" s="41"/>
      <c r="AH192" s="41"/>
      <c r="AI192" s="41"/>
      <c r="AJ192" s="41"/>
      <c r="AK192" s="44">
        <f t="shared" si="4"/>
        <v>76.300000000000011</v>
      </c>
      <c r="AL192" s="45"/>
      <c r="AM192" s="45"/>
      <c r="AN192" s="44"/>
      <c r="AO192" s="37"/>
    </row>
    <row r="193" spans="1:41" ht="21" customHeight="1" x14ac:dyDescent="0.2">
      <c r="A193" s="34">
        <v>189</v>
      </c>
      <c r="B193" s="35" t="s">
        <v>416</v>
      </c>
      <c r="C193" s="36">
        <v>14241527</v>
      </c>
      <c r="D193" s="38" t="s">
        <v>413</v>
      </c>
      <c r="E193" s="37" t="s">
        <v>24</v>
      </c>
      <c r="F193" s="38" t="s">
        <v>201</v>
      </c>
      <c r="G193" s="38" t="s">
        <v>8</v>
      </c>
      <c r="H193" s="39">
        <v>37698</v>
      </c>
      <c r="I193" s="38" t="s">
        <v>11</v>
      </c>
      <c r="J193" s="40"/>
      <c r="K193" s="40"/>
      <c r="L193" s="40">
        <v>3</v>
      </c>
      <c r="M193" s="40"/>
      <c r="N193" s="40">
        <v>25</v>
      </c>
      <c r="O193" s="40">
        <v>36.799999999999997</v>
      </c>
      <c r="P193" s="40">
        <v>9</v>
      </c>
      <c r="Q193" s="40">
        <v>53.3</v>
      </c>
      <c r="R193" s="40">
        <v>101.4</v>
      </c>
      <c r="S193" s="40">
        <v>91.5</v>
      </c>
      <c r="T193" s="40"/>
      <c r="U193" s="40">
        <v>19</v>
      </c>
      <c r="V193" s="40">
        <v>40</v>
      </c>
      <c r="W193" s="41">
        <v>0</v>
      </c>
      <c r="X193" s="41">
        <v>8</v>
      </c>
      <c r="Y193" s="41">
        <v>8</v>
      </c>
      <c r="Z193" s="41">
        <v>24</v>
      </c>
      <c r="AA193" s="42">
        <v>540</v>
      </c>
      <c r="AB193" s="40">
        <f t="shared" si="5"/>
        <v>121</v>
      </c>
      <c r="AC193" s="43"/>
      <c r="AD193" s="43"/>
      <c r="AE193" s="43"/>
      <c r="AF193" s="43"/>
      <c r="AG193" s="43"/>
      <c r="AH193" s="43"/>
      <c r="AI193" s="43"/>
      <c r="AJ193" s="43"/>
      <c r="AK193" s="44">
        <f t="shared" si="4"/>
        <v>121</v>
      </c>
      <c r="AL193" s="45"/>
      <c r="AM193" s="45"/>
      <c r="AN193" s="44"/>
      <c r="AO193" s="37"/>
    </row>
    <row r="194" spans="1:41" ht="21" customHeight="1" x14ac:dyDescent="0.2">
      <c r="A194" s="34">
        <v>190</v>
      </c>
      <c r="B194" s="35" t="s">
        <v>417</v>
      </c>
      <c r="C194" s="36">
        <v>4374317</v>
      </c>
      <c r="D194" s="38" t="s">
        <v>413</v>
      </c>
      <c r="E194" s="37" t="s">
        <v>24</v>
      </c>
      <c r="F194" s="38" t="s">
        <v>17</v>
      </c>
      <c r="G194" s="38" t="s">
        <v>8</v>
      </c>
      <c r="H194" s="39">
        <v>35828</v>
      </c>
      <c r="I194" s="38" t="s">
        <v>22</v>
      </c>
      <c r="J194" s="40">
        <v>31.5</v>
      </c>
      <c r="K194" s="40"/>
      <c r="L194" s="40">
        <v>25.3</v>
      </c>
      <c r="M194" s="40"/>
      <c r="N194" s="40"/>
      <c r="O194" s="40">
        <v>3</v>
      </c>
      <c r="P194" s="40"/>
      <c r="Q194" s="40"/>
      <c r="R194" s="40"/>
      <c r="S194" s="40"/>
      <c r="T194" s="40"/>
      <c r="U194" s="40">
        <v>0</v>
      </c>
      <c r="V194" s="40">
        <v>0</v>
      </c>
      <c r="W194" s="41">
        <v>0</v>
      </c>
      <c r="X194" s="41">
        <v>0</v>
      </c>
      <c r="Y194" s="41">
        <v>0</v>
      </c>
      <c r="Z194" s="41">
        <v>0</v>
      </c>
      <c r="AA194" s="42">
        <v>160</v>
      </c>
      <c r="AB194" s="40">
        <f t="shared" si="5"/>
        <v>100.2</v>
      </c>
      <c r="AC194" s="43"/>
      <c r="AD194" s="41"/>
      <c r="AE194" s="41"/>
      <c r="AF194" s="41"/>
      <c r="AG194" s="41"/>
      <c r="AH194" s="41"/>
      <c r="AI194" s="41"/>
      <c r="AJ194" s="41"/>
      <c r="AK194" s="44">
        <f t="shared" si="4"/>
        <v>100.2</v>
      </c>
      <c r="AL194" s="45"/>
      <c r="AM194" s="45"/>
      <c r="AN194" s="44"/>
      <c r="AO194" s="46"/>
    </row>
    <row r="195" spans="1:41" ht="38.25" x14ac:dyDescent="0.2">
      <c r="A195" s="318">
        <v>191</v>
      </c>
      <c r="B195" s="317" t="s">
        <v>418</v>
      </c>
      <c r="C195" s="324">
        <v>14231147</v>
      </c>
      <c r="D195" s="323" t="s">
        <v>413</v>
      </c>
      <c r="E195" s="300" t="s">
        <v>24</v>
      </c>
      <c r="F195" s="323" t="s">
        <v>201</v>
      </c>
      <c r="G195" s="323" t="s">
        <v>8</v>
      </c>
      <c r="H195" s="325">
        <v>34173</v>
      </c>
      <c r="I195" s="323" t="s">
        <v>11</v>
      </c>
      <c r="J195" s="326">
        <v>77.5</v>
      </c>
      <c r="K195" s="326">
        <v>13.5</v>
      </c>
      <c r="L195" s="326">
        <v>12</v>
      </c>
      <c r="M195" s="326">
        <v>14.1</v>
      </c>
      <c r="N195" s="326">
        <v>33.799999999999997</v>
      </c>
      <c r="O195" s="326">
        <v>33.1</v>
      </c>
      <c r="P195" s="326">
        <v>34.4</v>
      </c>
      <c r="Q195" s="326">
        <v>126.3</v>
      </c>
      <c r="R195" s="326">
        <v>38.9</v>
      </c>
      <c r="S195" s="326">
        <v>62.9</v>
      </c>
      <c r="T195" s="326">
        <v>42.7</v>
      </c>
      <c r="U195" s="326">
        <v>0</v>
      </c>
      <c r="V195" s="326">
        <v>7.9</v>
      </c>
      <c r="W195" s="327">
        <v>0</v>
      </c>
      <c r="X195" s="327">
        <v>0</v>
      </c>
      <c r="Y195" s="327">
        <v>0</v>
      </c>
      <c r="Z195" s="327">
        <v>26.200000000000003</v>
      </c>
      <c r="AA195" s="328">
        <v>540</v>
      </c>
      <c r="AB195" s="326">
        <f t="shared" si="5"/>
        <v>16.700000000000045</v>
      </c>
      <c r="AC195" s="329"/>
      <c r="AD195" s="327"/>
      <c r="AE195" s="327"/>
      <c r="AF195" s="327"/>
      <c r="AG195" s="327"/>
      <c r="AH195" s="327"/>
      <c r="AI195" s="327"/>
      <c r="AJ195" s="327"/>
      <c r="AK195" s="330">
        <f t="shared" si="4"/>
        <v>16.700000000000045</v>
      </c>
      <c r="AL195" s="331"/>
      <c r="AM195" s="331"/>
      <c r="AN195" s="332" t="s">
        <v>419</v>
      </c>
      <c r="AO195" s="333" t="s">
        <v>736</v>
      </c>
    </row>
    <row r="196" spans="1:41" ht="21" customHeight="1" x14ac:dyDescent="0.2">
      <c r="A196" s="34">
        <v>192</v>
      </c>
      <c r="B196" s="35" t="s">
        <v>420</v>
      </c>
      <c r="C196" s="36">
        <v>7520464</v>
      </c>
      <c r="D196" s="38" t="s">
        <v>413</v>
      </c>
      <c r="E196" s="37" t="s">
        <v>24</v>
      </c>
      <c r="F196" s="38" t="s">
        <v>17</v>
      </c>
      <c r="G196" s="38" t="s">
        <v>8</v>
      </c>
      <c r="H196" s="39">
        <v>27668</v>
      </c>
      <c r="I196" s="38" t="s">
        <v>11</v>
      </c>
      <c r="J196" s="40">
        <v>218.5</v>
      </c>
      <c r="K196" s="40"/>
      <c r="L196" s="40">
        <v>37.299999999999997</v>
      </c>
      <c r="M196" s="40"/>
      <c r="N196" s="40"/>
      <c r="O196" s="40">
        <v>30.1</v>
      </c>
      <c r="P196" s="40"/>
      <c r="Q196" s="40">
        <v>12.2</v>
      </c>
      <c r="R196" s="40">
        <v>12</v>
      </c>
      <c r="S196" s="40"/>
      <c r="T196" s="40"/>
      <c r="U196" s="40">
        <v>0</v>
      </c>
      <c r="V196" s="40">
        <v>0</v>
      </c>
      <c r="W196" s="41">
        <v>0</v>
      </c>
      <c r="X196" s="41">
        <v>0</v>
      </c>
      <c r="Y196" s="41">
        <v>0</v>
      </c>
      <c r="Z196" s="41">
        <v>0</v>
      </c>
      <c r="AA196" s="42">
        <v>540</v>
      </c>
      <c r="AB196" s="40">
        <f t="shared" si="5"/>
        <v>229.89999999999998</v>
      </c>
      <c r="AC196" s="43"/>
      <c r="AD196" s="41"/>
      <c r="AE196" s="41"/>
      <c r="AF196" s="41"/>
      <c r="AG196" s="41"/>
      <c r="AH196" s="41"/>
      <c r="AI196" s="41"/>
      <c r="AJ196" s="41"/>
      <c r="AK196" s="44">
        <f t="shared" si="4"/>
        <v>229.89999999999998</v>
      </c>
      <c r="AL196" s="45"/>
      <c r="AM196" s="45"/>
      <c r="AN196" s="44"/>
      <c r="AO196" s="46"/>
    </row>
    <row r="197" spans="1:41" ht="21" customHeight="1" x14ac:dyDescent="0.2">
      <c r="A197" s="34">
        <v>193</v>
      </c>
      <c r="B197" s="35" t="s">
        <v>421</v>
      </c>
      <c r="C197" s="36">
        <v>41942473</v>
      </c>
      <c r="D197" s="38" t="s">
        <v>413</v>
      </c>
      <c r="E197" s="37" t="s">
        <v>24</v>
      </c>
      <c r="F197" s="38" t="s">
        <v>201</v>
      </c>
      <c r="G197" s="38" t="s">
        <v>8</v>
      </c>
      <c r="H197" s="39">
        <v>41872</v>
      </c>
      <c r="I197" s="38" t="s">
        <v>10</v>
      </c>
      <c r="J197" s="40"/>
      <c r="K197" s="40"/>
      <c r="L197" s="40"/>
      <c r="M197" s="40"/>
      <c r="N197" s="40"/>
      <c r="O197" s="40">
        <v>26.7</v>
      </c>
      <c r="P197" s="40">
        <v>38.1</v>
      </c>
      <c r="Q197" s="40"/>
      <c r="R197" s="40">
        <v>8.9</v>
      </c>
      <c r="S197" s="40"/>
      <c r="T197" s="40"/>
      <c r="U197" s="40">
        <v>0</v>
      </c>
      <c r="V197" s="40">
        <v>0</v>
      </c>
      <c r="W197" s="41">
        <v>0</v>
      </c>
      <c r="X197" s="41">
        <v>0</v>
      </c>
      <c r="Y197" s="41">
        <v>22.5</v>
      </c>
      <c r="Z197" s="41">
        <v>0</v>
      </c>
      <c r="AA197" s="42">
        <v>320</v>
      </c>
      <c r="AB197" s="40">
        <f t="shared" si="5"/>
        <v>223.8</v>
      </c>
      <c r="AC197" s="43"/>
      <c r="AD197" s="41"/>
      <c r="AE197" s="41"/>
      <c r="AF197" s="41"/>
      <c r="AG197" s="41"/>
      <c r="AH197" s="41"/>
      <c r="AI197" s="41"/>
      <c r="AJ197" s="41"/>
      <c r="AK197" s="44">
        <f t="shared" ref="AK197:AK260" si="6">AB197-AC197-AD197-AE197-AF197-AG197-AH197-AI197-AJ197</f>
        <v>223.8</v>
      </c>
      <c r="AL197" s="45"/>
      <c r="AM197" s="45"/>
      <c r="AN197" s="44"/>
      <c r="AO197" s="46"/>
    </row>
    <row r="198" spans="1:41" ht="21" customHeight="1" x14ac:dyDescent="0.2">
      <c r="A198" s="34">
        <v>194</v>
      </c>
      <c r="B198" s="35" t="s">
        <v>422</v>
      </c>
      <c r="C198" s="36">
        <v>25153622</v>
      </c>
      <c r="D198" s="38" t="s">
        <v>413</v>
      </c>
      <c r="E198" s="37" t="s">
        <v>24</v>
      </c>
      <c r="F198" s="38" t="s">
        <v>17</v>
      </c>
      <c r="G198" s="38" t="s">
        <v>8</v>
      </c>
      <c r="H198" s="39">
        <v>29983</v>
      </c>
      <c r="I198" s="38" t="s">
        <v>11</v>
      </c>
      <c r="J198" s="40">
        <v>167</v>
      </c>
      <c r="K198" s="40">
        <v>15</v>
      </c>
      <c r="L198" s="40"/>
      <c r="M198" s="40"/>
      <c r="N198" s="40"/>
      <c r="O198" s="40">
        <v>7.5</v>
      </c>
      <c r="P198" s="40"/>
      <c r="Q198" s="40">
        <v>11</v>
      </c>
      <c r="R198" s="40">
        <v>8.9</v>
      </c>
      <c r="S198" s="40"/>
      <c r="T198" s="40">
        <v>6</v>
      </c>
      <c r="U198" s="40">
        <v>0</v>
      </c>
      <c r="V198" s="40">
        <v>0</v>
      </c>
      <c r="W198" s="41">
        <v>0</v>
      </c>
      <c r="X198" s="41">
        <v>0</v>
      </c>
      <c r="Y198" s="41">
        <v>0</v>
      </c>
      <c r="Z198" s="41">
        <v>0</v>
      </c>
      <c r="AA198" s="42">
        <v>540</v>
      </c>
      <c r="AB198" s="40">
        <f t="shared" ref="AB198:AB261" si="7">AA198-(J198+K198+L198+M198+N198+O198+P198+Q198+R198+S198+T198+U198+V198+W198+X198+Y198+Z198)</f>
        <v>324.60000000000002</v>
      </c>
      <c r="AC198" s="43"/>
      <c r="AD198" s="41"/>
      <c r="AE198" s="41"/>
      <c r="AF198" s="41"/>
      <c r="AG198" s="41"/>
      <c r="AH198" s="41"/>
      <c r="AI198" s="41"/>
      <c r="AJ198" s="41"/>
      <c r="AK198" s="44">
        <f t="shared" si="6"/>
        <v>324.60000000000002</v>
      </c>
      <c r="AL198" s="45"/>
      <c r="AM198" s="45"/>
      <c r="AN198" s="44"/>
      <c r="AO198" s="46"/>
    </row>
    <row r="199" spans="1:41" ht="21" customHeight="1" x14ac:dyDescent="0.2">
      <c r="A199" s="34">
        <v>195</v>
      </c>
      <c r="B199" s="35" t="s">
        <v>423</v>
      </c>
      <c r="C199" s="36">
        <v>18397252</v>
      </c>
      <c r="D199" s="38" t="s">
        <v>413</v>
      </c>
      <c r="E199" s="37" t="s">
        <v>24</v>
      </c>
      <c r="F199" s="38" t="s">
        <v>201</v>
      </c>
      <c r="G199" s="38" t="s">
        <v>8</v>
      </c>
      <c r="H199" s="39">
        <v>39650</v>
      </c>
      <c r="I199" s="38" t="s">
        <v>10</v>
      </c>
      <c r="J199" s="40">
        <v>69.7</v>
      </c>
      <c r="K199" s="40"/>
      <c r="L199" s="40">
        <v>12.6</v>
      </c>
      <c r="M199" s="40">
        <v>10.1</v>
      </c>
      <c r="N199" s="40">
        <v>11.5</v>
      </c>
      <c r="O199" s="40">
        <v>35.200000000000003</v>
      </c>
      <c r="P199" s="40">
        <v>14.6</v>
      </c>
      <c r="Q199" s="40"/>
      <c r="R199" s="40"/>
      <c r="S199" s="40"/>
      <c r="T199" s="40"/>
      <c r="U199" s="40">
        <v>0</v>
      </c>
      <c r="V199" s="40">
        <v>20</v>
      </c>
      <c r="W199" s="41">
        <v>7.5</v>
      </c>
      <c r="X199" s="41">
        <v>0</v>
      </c>
      <c r="Y199" s="41">
        <v>1.5</v>
      </c>
      <c r="Z199" s="41">
        <v>0</v>
      </c>
      <c r="AA199" s="42">
        <v>320</v>
      </c>
      <c r="AB199" s="40">
        <f t="shared" si="7"/>
        <v>137.30000000000001</v>
      </c>
      <c r="AC199" s="43"/>
      <c r="AD199" s="41"/>
      <c r="AE199" s="41"/>
      <c r="AF199" s="41"/>
      <c r="AG199" s="41"/>
      <c r="AH199" s="41"/>
      <c r="AI199" s="41"/>
      <c r="AJ199" s="41"/>
      <c r="AK199" s="44">
        <f t="shared" si="6"/>
        <v>137.30000000000001</v>
      </c>
      <c r="AL199" s="45"/>
      <c r="AM199" s="45"/>
      <c r="AN199" s="44"/>
      <c r="AO199" s="46"/>
    </row>
    <row r="200" spans="1:41" ht="21" customHeight="1" x14ac:dyDescent="0.2">
      <c r="A200" s="34">
        <v>196</v>
      </c>
      <c r="B200" s="35" t="s">
        <v>424</v>
      </c>
      <c r="C200" s="36">
        <v>89005354</v>
      </c>
      <c r="D200" s="38" t="s">
        <v>413</v>
      </c>
      <c r="E200" s="37" t="s">
        <v>24</v>
      </c>
      <c r="F200" s="38" t="s">
        <v>17</v>
      </c>
      <c r="G200" s="38" t="s">
        <v>8</v>
      </c>
      <c r="H200" s="39">
        <v>41872</v>
      </c>
      <c r="I200" s="38" t="s">
        <v>10</v>
      </c>
      <c r="J200" s="40"/>
      <c r="K200" s="40"/>
      <c r="L200" s="40"/>
      <c r="M200" s="40"/>
      <c r="N200" s="40"/>
      <c r="O200" s="40">
        <v>12.1</v>
      </c>
      <c r="P200" s="40">
        <v>15.3</v>
      </c>
      <c r="Q200" s="40">
        <v>12.2</v>
      </c>
      <c r="R200" s="40">
        <v>15</v>
      </c>
      <c r="S200" s="40">
        <v>42.4</v>
      </c>
      <c r="T200" s="40">
        <v>38</v>
      </c>
      <c r="U200" s="40">
        <v>0</v>
      </c>
      <c r="V200" s="40">
        <v>22.9</v>
      </c>
      <c r="W200" s="41">
        <v>0</v>
      </c>
      <c r="X200" s="41">
        <v>0</v>
      </c>
      <c r="Y200" s="41">
        <v>0</v>
      </c>
      <c r="Z200" s="41">
        <v>0</v>
      </c>
      <c r="AA200" s="42">
        <v>320</v>
      </c>
      <c r="AB200" s="40">
        <f t="shared" si="7"/>
        <v>162.1</v>
      </c>
      <c r="AC200" s="43"/>
      <c r="AD200" s="41"/>
      <c r="AE200" s="41"/>
      <c r="AF200" s="41"/>
      <c r="AG200" s="41"/>
      <c r="AH200" s="41"/>
      <c r="AI200" s="41"/>
      <c r="AJ200" s="41"/>
      <c r="AK200" s="44">
        <f t="shared" si="6"/>
        <v>162.1</v>
      </c>
      <c r="AL200" s="45"/>
      <c r="AM200" s="45"/>
      <c r="AN200" s="44"/>
      <c r="AO200" s="46"/>
    </row>
    <row r="201" spans="1:41" ht="21" customHeight="1" x14ac:dyDescent="0.2">
      <c r="A201" s="34">
        <v>197</v>
      </c>
      <c r="B201" s="35" t="s">
        <v>425</v>
      </c>
      <c r="C201" s="36">
        <v>33215449</v>
      </c>
      <c r="D201" s="38" t="s">
        <v>413</v>
      </c>
      <c r="E201" s="37" t="s">
        <v>24</v>
      </c>
      <c r="F201" s="38" t="s">
        <v>17</v>
      </c>
      <c r="G201" s="38" t="s">
        <v>8</v>
      </c>
      <c r="H201" s="39">
        <v>40947</v>
      </c>
      <c r="I201" s="38" t="s">
        <v>11</v>
      </c>
      <c r="J201" s="40"/>
      <c r="K201" s="40"/>
      <c r="L201" s="40"/>
      <c r="M201" s="40">
        <v>21.5</v>
      </c>
      <c r="N201" s="40"/>
      <c r="O201" s="40">
        <v>12.9</v>
      </c>
      <c r="P201" s="40">
        <v>33.200000000000003</v>
      </c>
      <c r="Q201" s="40">
        <v>30.6</v>
      </c>
      <c r="R201" s="40">
        <v>31</v>
      </c>
      <c r="S201" s="40"/>
      <c r="T201" s="40">
        <v>12.7</v>
      </c>
      <c r="U201" s="40">
        <v>0</v>
      </c>
      <c r="V201" s="40">
        <v>11.9</v>
      </c>
      <c r="W201" s="41">
        <v>0</v>
      </c>
      <c r="X201" s="41">
        <v>0</v>
      </c>
      <c r="Y201" s="41">
        <v>0</v>
      </c>
      <c r="Z201" s="41">
        <v>0</v>
      </c>
      <c r="AA201" s="42">
        <v>540</v>
      </c>
      <c r="AB201" s="40">
        <f t="shared" si="7"/>
        <v>386.20000000000005</v>
      </c>
      <c r="AC201" s="43"/>
      <c r="AD201" s="41"/>
      <c r="AE201" s="41"/>
      <c r="AF201" s="41"/>
      <c r="AG201" s="41"/>
      <c r="AH201" s="41"/>
      <c r="AI201" s="41"/>
      <c r="AJ201" s="41"/>
      <c r="AK201" s="44">
        <f t="shared" si="6"/>
        <v>386.20000000000005</v>
      </c>
      <c r="AL201" s="45"/>
      <c r="AM201" s="45"/>
      <c r="AN201" s="44"/>
      <c r="AO201" s="95"/>
    </row>
    <row r="202" spans="1:41" ht="21" customHeight="1" x14ac:dyDescent="0.2">
      <c r="A202" s="34">
        <v>198</v>
      </c>
      <c r="B202" s="35" t="s">
        <v>426</v>
      </c>
      <c r="C202" s="36">
        <v>41939761</v>
      </c>
      <c r="D202" s="38" t="s">
        <v>413</v>
      </c>
      <c r="E202" s="37" t="s">
        <v>24</v>
      </c>
      <c r="F202" s="38" t="s">
        <v>201</v>
      </c>
      <c r="G202" s="38" t="s">
        <v>8</v>
      </c>
      <c r="H202" s="39">
        <v>40203</v>
      </c>
      <c r="I202" s="38" t="s">
        <v>10</v>
      </c>
      <c r="J202" s="40"/>
      <c r="K202" s="40">
        <v>43</v>
      </c>
      <c r="L202" s="40">
        <v>24.2</v>
      </c>
      <c r="M202" s="40">
        <v>10.1</v>
      </c>
      <c r="N202" s="40">
        <v>6.7</v>
      </c>
      <c r="O202" s="40">
        <v>15.9</v>
      </c>
      <c r="P202" s="40"/>
      <c r="Q202" s="40"/>
      <c r="R202" s="40">
        <v>3</v>
      </c>
      <c r="S202" s="40"/>
      <c r="T202" s="40"/>
      <c r="U202" s="40">
        <v>0</v>
      </c>
      <c r="V202" s="40">
        <v>0</v>
      </c>
      <c r="W202" s="41">
        <v>0</v>
      </c>
      <c r="X202" s="41">
        <v>0</v>
      </c>
      <c r="Y202" s="41">
        <v>0</v>
      </c>
      <c r="Z202" s="41">
        <v>0</v>
      </c>
      <c r="AA202" s="42">
        <v>320</v>
      </c>
      <c r="AB202" s="40">
        <f t="shared" si="7"/>
        <v>217.1</v>
      </c>
      <c r="AC202" s="43"/>
      <c r="AD202" s="41"/>
      <c r="AE202" s="80"/>
      <c r="AF202" s="80"/>
      <c r="AG202" s="41"/>
      <c r="AH202" s="41"/>
      <c r="AI202" s="41"/>
      <c r="AJ202" s="41"/>
      <c r="AK202" s="44">
        <f t="shared" si="6"/>
        <v>217.1</v>
      </c>
      <c r="AL202" s="81"/>
      <c r="AM202" s="81"/>
      <c r="AN202" s="82"/>
      <c r="AO202" s="113"/>
    </row>
    <row r="203" spans="1:41" ht="21" customHeight="1" x14ac:dyDescent="0.2">
      <c r="A203" s="34">
        <v>199</v>
      </c>
      <c r="B203" s="35" t="s">
        <v>427</v>
      </c>
      <c r="C203" s="36">
        <v>24988906</v>
      </c>
      <c r="D203" s="38" t="s">
        <v>413</v>
      </c>
      <c r="E203" s="37" t="s">
        <v>24</v>
      </c>
      <c r="F203" s="38" t="s">
        <v>201</v>
      </c>
      <c r="G203" s="38" t="s">
        <v>8</v>
      </c>
      <c r="H203" s="39">
        <v>34024</v>
      </c>
      <c r="I203" s="38" t="s">
        <v>11</v>
      </c>
      <c r="J203" s="40">
        <v>22.9</v>
      </c>
      <c r="K203" s="40"/>
      <c r="L203" s="40">
        <v>6</v>
      </c>
      <c r="M203" s="40">
        <v>3</v>
      </c>
      <c r="N203" s="40">
        <v>31.5</v>
      </c>
      <c r="O203" s="40"/>
      <c r="P203" s="40">
        <v>7.5</v>
      </c>
      <c r="Q203" s="40">
        <v>10.5</v>
      </c>
      <c r="R203" s="40">
        <v>3</v>
      </c>
      <c r="S203" s="40">
        <v>27.4</v>
      </c>
      <c r="T203" s="40"/>
      <c r="U203" s="40">
        <v>6</v>
      </c>
      <c r="V203" s="40">
        <v>0</v>
      </c>
      <c r="W203" s="41">
        <v>0</v>
      </c>
      <c r="X203" s="41">
        <v>0</v>
      </c>
      <c r="Y203" s="41">
        <v>23</v>
      </c>
      <c r="Z203" s="41">
        <v>0</v>
      </c>
      <c r="AA203" s="42">
        <v>540</v>
      </c>
      <c r="AB203" s="40">
        <f t="shared" si="7"/>
        <v>399.2</v>
      </c>
      <c r="AC203" s="43"/>
      <c r="AD203" s="41"/>
      <c r="AE203" s="41"/>
      <c r="AF203" s="41"/>
      <c r="AG203" s="41"/>
      <c r="AH203" s="41"/>
      <c r="AI203" s="41"/>
      <c r="AJ203" s="41"/>
      <c r="AK203" s="44">
        <f t="shared" si="6"/>
        <v>399.2</v>
      </c>
      <c r="AL203" s="45"/>
      <c r="AM203" s="45"/>
      <c r="AN203" s="44"/>
      <c r="AO203" s="46"/>
    </row>
    <row r="204" spans="1:41" ht="21" customHeight="1" x14ac:dyDescent="0.2">
      <c r="A204" s="34">
        <v>200</v>
      </c>
      <c r="B204" s="35" t="s">
        <v>428</v>
      </c>
      <c r="C204" s="36">
        <v>18492637</v>
      </c>
      <c r="D204" s="38" t="s">
        <v>413</v>
      </c>
      <c r="E204" s="37" t="s">
        <v>24</v>
      </c>
      <c r="F204" s="38" t="s">
        <v>201</v>
      </c>
      <c r="G204" s="38" t="s">
        <v>8</v>
      </c>
      <c r="H204" s="39">
        <v>41872</v>
      </c>
      <c r="I204" s="38" t="s">
        <v>11</v>
      </c>
      <c r="J204" s="40"/>
      <c r="K204" s="40"/>
      <c r="L204" s="40"/>
      <c r="M204" s="40"/>
      <c r="N204" s="40"/>
      <c r="O204" s="40">
        <v>66.2</v>
      </c>
      <c r="P204" s="40">
        <v>48</v>
      </c>
      <c r="Q204" s="40"/>
      <c r="R204" s="40"/>
      <c r="S204" s="40">
        <v>15</v>
      </c>
      <c r="T204" s="40">
        <v>27</v>
      </c>
      <c r="U204" s="40">
        <v>8</v>
      </c>
      <c r="V204" s="40">
        <v>12</v>
      </c>
      <c r="W204" s="41">
        <v>19.5</v>
      </c>
      <c r="X204" s="41">
        <v>0</v>
      </c>
      <c r="Y204" s="41">
        <v>0</v>
      </c>
      <c r="Z204" s="41">
        <v>0</v>
      </c>
      <c r="AA204" s="42">
        <v>540</v>
      </c>
      <c r="AB204" s="40">
        <f t="shared" si="7"/>
        <v>344.3</v>
      </c>
      <c r="AC204" s="43"/>
      <c r="AD204" s="41"/>
      <c r="AE204" s="41"/>
      <c r="AF204" s="41"/>
      <c r="AG204" s="41"/>
      <c r="AH204" s="41"/>
      <c r="AI204" s="41"/>
      <c r="AJ204" s="41"/>
      <c r="AK204" s="44">
        <f t="shared" si="6"/>
        <v>344.3</v>
      </c>
      <c r="AL204" s="45"/>
      <c r="AM204" s="45"/>
      <c r="AN204" s="44"/>
      <c r="AO204" s="46"/>
    </row>
    <row r="205" spans="1:41" ht="21" customHeight="1" x14ac:dyDescent="0.2">
      <c r="A205" s="34">
        <v>201</v>
      </c>
      <c r="B205" s="35" t="s">
        <v>429</v>
      </c>
      <c r="C205" s="36">
        <v>7552224</v>
      </c>
      <c r="D205" s="38" t="s">
        <v>53</v>
      </c>
      <c r="E205" s="37" t="s">
        <v>54</v>
      </c>
      <c r="F205" s="38" t="s">
        <v>242</v>
      </c>
      <c r="G205" s="38" t="s">
        <v>430</v>
      </c>
      <c r="H205" s="39">
        <v>40203</v>
      </c>
      <c r="I205" s="38" t="s">
        <v>22</v>
      </c>
      <c r="J205" s="40"/>
      <c r="K205" s="40">
        <v>23</v>
      </c>
      <c r="L205" s="40"/>
      <c r="M205" s="40"/>
      <c r="N205" s="40"/>
      <c r="O205" s="40"/>
      <c r="P205" s="40"/>
      <c r="Q205" s="40"/>
      <c r="R205" s="40"/>
      <c r="S205" s="40"/>
      <c r="T205" s="40"/>
      <c r="U205" s="40">
        <v>0</v>
      </c>
      <c r="V205" s="40">
        <v>0</v>
      </c>
      <c r="W205" s="41">
        <v>0</v>
      </c>
      <c r="X205" s="41">
        <v>0</v>
      </c>
      <c r="Y205" s="41">
        <v>0</v>
      </c>
      <c r="Z205" s="41">
        <v>0</v>
      </c>
      <c r="AA205" s="42">
        <v>160</v>
      </c>
      <c r="AB205" s="40">
        <f t="shared" si="7"/>
        <v>137</v>
      </c>
      <c r="AC205" s="43"/>
      <c r="AD205" s="41"/>
      <c r="AE205" s="41"/>
      <c r="AF205" s="41"/>
      <c r="AG205" s="41"/>
      <c r="AH205" s="41"/>
      <c r="AI205" s="41"/>
      <c r="AJ205" s="41"/>
      <c r="AK205" s="44">
        <f t="shared" si="6"/>
        <v>137</v>
      </c>
      <c r="AL205" s="45"/>
      <c r="AM205" s="45"/>
      <c r="AN205" s="44"/>
      <c r="AO205" s="46"/>
    </row>
    <row r="206" spans="1:41" ht="21" customHeight="1" x14ac:dyDescent="0.2">
      <c r="A206" s="34">
        <v>202</v>
      </c>
      <c r="B206" s="35" t="s">
        <v>431</v>
      </c>
      <c r="C206" s="36">
        <v>39789083</v>
      </c>
      <c r="D206" s="38" t="s">
        <v>53</v>
      </c>
      <c r="E206" s="37" t="s">
        <v>54</v>
      </c>
      <c r="F206" s="38" t="s">
        <v>242</v>
      </c>
      <c r="G206" s="38" t="s">
        <v>8</v>
      </c>
      <c r="H206" s="39">
        <v>40203</v>
      </c>
      <c r="I206" s="38" t="s">
        <v>22</v>
      </c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>
        <v>0</v>
      </c>
      <c r="V206" s="40">
        <v>1.8</v>
      </c>
      <c r="W206" s="41">
        <v>0</v>
      </c>
      <c r="X206" s="41">
        <v>12.8</v>
      </c>
      <c r="Y206" s="41">
        <v>0</v>
      </c>
      <c r="Z206" s="41">
        <v>0</v>
      </c>
      <c r="AA206" s="42">
        <v>160</v>
      </c>
      <c r="AB206" s="40">
        <f t="shared" si="7"/>
        <v>145.4</v>
      </c>
      <c r="AC206" s="43"/>
      <c r="AD206" s="41"/>
      <c r="AE206" s="41"/>
      <c r="AF206" s="41"/>
      <c r="AG206" s="41"/>
      <c r="AH206" s="41"/>
      <c r="AI206" s="41"/>
      <c r="AJ206" s="41"/>
      <c r="AK206" s="44">
        <f t="shared" si="6"/>
        <v>145.4</v>
      </c>
      <c r="AL206" s="45"/>
      <c r="AM206" s="45"/>
      <c r="AN206" s="44"/>
      <c r="AO206" s="46"/>
    </row>
    <row r="207" spans="1:41" ht="21" customHeight="1" x14ac:dyDescent="0.2">
      <c r="A207" s="34">
        <v>203</v>
      </c>
      <c r="B207" s="70" t="s">
        <v>432</v>
      </c>
      <c r="C207" s="71">
        <v>7554191</v>
      </c>
      <c r="D207" s="72" t="s">
        <v>53</v>
      </c>
      <c r="E207" s="73" t="s">
        <v>54</v>
      </c>
      <c r="F207" s="72" t="s">
        <v>201</v>
      </c>
      <c r="G207" s="72" t="s">
        <v>8</v>
      </c>
      <c r="H207" s="74">
        <v>34851</v>
      </c>
      <c r="I207" s="72" t="s">
        <v>11</v>
      </c>
      <c r="J207" s="75">
        <v>118.4</v>
      </c>
      <c r="K207" s="75">
        <v>44</v>
      </c>
      <c r="L207" s="75">
        <v>33.200000000000003</v>
      </c>
      <c r="M207" s="75">
        <v>24.5</v>
      </c>
      <c r="N207" s="75">
        <v>70.5</v>
      </c>
      <c r="O207" s="75">
        <v>9</v>
      </c>
      <c r="P207" s="75">
        <v>15.6</v>
      </c>
      <c r="Q207" s="75"/>
      <c r="R207" s="75">
        <v>107.8</v>
      </c>
      <c r="S207" s="75">
        <v>21.4</v>
      </c>
      <c r="T207" s="75">
        <v>6.8</v>
      </c>
      <c r="U207" s="75">
        <v>42.3</v>
      </c>
      <c r="V207" s="75">
        <v>29</v>
      </c>
      <c r="W207" s="76">
        <v>17.5</v>
      </c>
      <c r="X207" s="76">
        <v>0</v>
      </c>
      <c r="Y207" s="76">
        <v>0</v>
      </c>
      <c r="Z207" s="76">
        <v>0</v>
      </c>
      <c r="AA207" s="77">
        <v>540</v>
      </c>
      <c r="AB207" s="40">
        <f t="shared" si="7"/>
        <v>0</v>
      </c>
      <c r="AC207" s="76"/>
      <c r="AD207" s="76"/>
      <c r="AE207" s="76"/>
      <c r="AF207" s="76"/>
      <c r="AG207" s="76"/>
      <c r="AH207" s="76"/>
      <c r="AI207" s="76"/>
      <c r="AJ207" s="76"/>
      <c r="AK207" s="78">
        <f t="shared" si="6"/>
        <v>0</v>
      </c>
      <c r="AL207" s="45"/>
      <c r="AM207" s="45"/>
      <c r="AN207" s="44"/>
      <c r="AO207" s="46"/>
    </row>
    <row r="208" spans="1:41" ht="21" customHeight="1" x14ac:dyDescent="0.2">
      <c r="A208" s="34">
        <v>204</v>
      </c>
      <c r="B208" s="35" t="s">
        <v>433</v>
      </c>
      <c r="C208" s="36">
        <v>71600566</v>
      </c>
      <c r="D208" s="38" t="s">
        <v>53</v>
      </c>
      <c r="E208" s="37" t="s">
        <v>54</v>
      </c>
      <c r="F208" s="38" t="s">
        <v>17</v>
      </c>
      <c r="G208" s="38" t="s">
        <v>430</v>
      </c>
      <c r="H208" s="39">
        <v>34740</v>
      </c>
      <c r="I208" s="38" t="s">
        <v>22</v>
      </c>
      <c r="J208" s="40">
        <v>5.5</v>
      </c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>
        <v>0</v>
      </c>
      <c r="V208" s="40">
        <v>0</v>
      </c>
      <c r="W208" s="41">
        <v>0</v>
      </c>
      <c r="X208" s="41">
        <v>0</v>
      </c>
      <c r="Y208" s="41">
        <v>0</v>
      </c>
      <c r="Z208" s="41">
        <v>0</v>
      </c>
      <c r="AA208" s="42">
        <v>160</v>
      </c>
      <c r="AB208" s="40">
        <f t="shared" si="7"/>
        <v>154.5</v>
      </c>
      <c r="AC208" s="43"/>
      <c r="AD208" s="41"/>
      <c r="AE208" s="41"/>
      <c r="AF208" s="41"/>
      <c r="AG208" s="41"/>
      <c r="AH208" s="41"/>
      <c r="AI208" s="41"/>
      <c r="AJ208" s="41"/>
      <c r="AK208" s="44">
        <f t="shared" si="6"/>
        <v>154.5</v>
      </c>
      <c r="AL208" s="45"/>
      <c r="AM208" s="45"/>
      <c r="AN208" s="44"/>
      <c r="AO208" s="46"/>
    </row>
    <row r="209" spans="1:41" ht="21" customHeight="1" x14ac:dyDescent="0.2">
      <c r="A209" s="34">
        <v>205</v>
      </c>
      <c r="B209" s="35" t="s">
        <v>434</v>
      </c>
      <c r="C209" s="36">
        <v>7544368</v>
      </c>
      <c r="D209" s="38" t="s">
        <v>53</v>
      </c>
      <c r="E209" s="37" t="s">
        <v>54</v>
      </c>
      <c r="F209" s="38" t="s">
        <v>17</v>
      </c>
      <c r="G209" s="38" t="s">
        <v>430</v>
      </c>
      <c r="H209" s="39">
        <v>34366</v>
      </c>
      <c r="I209" s="38" t="s">
        <v>11</v>
      </c>
      <c r="J209" s="40">
        <v>11.2</v>
      </c>
      <c r="K209" s="40"/>
      <c r="L209" s="40"/>
      <c r="M209" s="40"/>
      <c r="N209" s="40"/>
      <c r="O209" s="40"/>
      <c r="P209" s="40"/>
      <c r="Q209" s="40"/>
      <c r="R209" s="40">
        <v>4</v>
      </c>
      <c r="S209" s="40"/>
      <c r="T209" s="40"/>
      <c r="U209" s="40">
        <v>0</v>
      </c>
      <c r="V209" s="40">
        <v>0</v>
      </c>
      <c r="W209" s="41">
        <v>0</v>
      </c>
      <c r="X209" s="41">
        <v>12.8</v>
      </c>
      <c r="Y209" s="41">
        <v>12.6</v>
      </c>
      <c r="Z209" s="41">
        <v>0</v>
      </c>
      <c r="AA209" s="42">
        <v>540</v>
      </c>
      <c r="AB209" s="40">
        <f t="shared" si="7"/>
        <v>499.4</v>
      </c>
      <c r="AC209" s="43"/>
      <c r="AD209" s="41"/>
      <c r="AE209" s="41"/>
      <c r="AF209" s="41"/>
      <c r="AG209" s="41"/>
      <c r="AH209" s="41"/>
      <c r="AI209" s="41"/>
      <c r="AJ209" s="41"/>
      <c r="AK209" s="44">
        <f t="shared" si="6"/>
        <v>499.4</v>
      </c>
      <c r="AL209" s="45"/>
      <c r="AM209" s="45"/>
      <c r="AN209" s="44"/>
      <c r="AO209" s="46"/>
    </row>
    <row r="210" spans="1:41" ht="21" customHeight="1" x14ac:dyDescent="0.2">
      <c r="A210" s="34">
        <v>206</v>
      </c>
      <c r="B210" s="35" t="s">
        <v>435</v>
      </c>
      <c r="C210" s="36">
        <v>41941200</v>
      </c>
      <c r="D210" s="38" t="s">
        <v>53</v>
      </c>
      <c r="E210" s="37" t="s">
        <v>54</v>
      </c>
      <c r="F210" s="38" t="s">
        <v>21</v>
      </c>
      <c r="G210" s="38" t="s">
        <v>430</v>
      </c>
      <c r="H210" s="39">
        <v>40392</v>
      </c>
      <c r="I210" s="38" t="s">
        <v>22</v>
      </c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>
        <v>0</v>
      </c>
      <c r="V210" s="40">
        <v>4</v>
      </c>
      <c r="W210" s="41">
        <v>0</v>
      </c>
      <c r="X210" s="41">
        <v>13.7</v>
      </c>
      <c r="Y210" s="41">
        <v>0</v>
      </c>
      <c r="Z210" s="41">
        <v>12.5</v>
      </c>
      <c r="AA210" s="42">
        <v>160</v>
      </c>
      <c r="AB210" s="40">
        <f t="shared" si="7"/>
        <v>129.80000000000001</v>
      </c>
      <c r="AC210" s="43"/>
      <c r="AD210" s="41"/>
      <c r="AE210" s="41"/>
      <c r="AF210" s="41"/>
      <c r="AG210" s="41"/>
      <c r="AH210" s="41"/>
      <c r="AI210" s="41"/>
      <c r="AJ210" s="41"/>
      <c r="AK210" s="44">
        <f t="shared" si="6"/>
        <v>129.80000000000001</v>
      </c>
      <c r="AL210" s="45"/>
      <c r="AM210" s="45"/>
      <c r="AN210" s="44"/>
      <c r="AO210" s="46"/>
    </row>
    <row r="211" spans="1:41" ht="21" customHeight="1" x14ac:dyDescent="0.2">
      <c r="A211" s="34">
        <v>207</v>
      </c>
      <c r="B211" s="35" t="s">
        <v>436</v>
      </c>
      <c r="C211" s="36">
        <v>1272863</v>
      </c>
      <c r="D211" s="38" t="s">
        <v>53</v>
      </c>
      <c r="E211" s="37" t="s">
        <v>54</v>
      </c>
      <c r="F211" s="38" t="s">
        <v>17</v>
      </c>
      <c r="G211" s="38" t="s">
        <v>8</v>
      </c>
      <c r="H211" s="39">
        <v>40203</v>
      </c>
      <c r="I211" s="38" t="s">
        <v>22</v>
      </c>
      <c r="J211" s="40"/>
      <c r="K211" s="40">
        <v>7.5</v>
      </c>
      <c r="L211" s="40"/>
      <c r="M211" s="40"/>
      <c r="N211" s="40"/>
      <c r="O211" s="40"/>
      <c r="P211" s="40"/>
      <c r="Q211" s="40"/>
      <c r="R211" s="40"/>
      <c r="S211" s="40"/>
      <c r="T211" s="40"/>
      <c r="U211" s="40">
        <v>0</v>
      </c>
      <c r="V211" s="40">
        <v>8</v>
      </c>
      <c r="W211" s="41">
        <v>0</v>
      </c>
      <c r="X211" s="41">
        <v>0</v>
      </c>
      <c r="Y211" s="41">
        <v>0</v>
      </c>
      <c r="Z211" s="41">
        <v>0</v>
      </c>
      <c r="AA211" s="42">
        <v>160</v>
      </c>
      <c r="AB211" s="40">
        <f t="shared" si="7"/>
        <v>144.5</v>
      </c>
      <c r="AC211" s="43"/>
      <c r="AD211" s="41"/>
      <c r="AE211" s="41"/>
      <c r="AF211" s="41"/>
      <c r="AG211" s="41"/>
      <c r="AH211" s="41"/>
      <c r="AI211" s="41"/>
      <c r="AJ211" s="41"/>
      <c r="AK211" s="44">
        <f t="shared" si="6"/>
        <v>144.5</v>
      </c>
      <c r="AL211" s="45"/>
      <c r="AM211" s="45"/>
      <c r="AN211" s="44"/>
      <c r="AO211" s="46"/>
    </row>
    <row r="212" spans="1:41" ht="21" customHeight="1" x14ac:dyDescent="0.2">
      <c r="A212" s="34">
        <v>208</v>
      </c>
      <c r="B212" s="35" t="s">
        <v>437</v>
      </c>
      <c r="C212" s="36">
        <v>7547521</v>
      </c>
      <c r="D212" s="38" t="s">
        <v>53</v>
      </c>
      <c r="E212" s="37" t="s">
        <v>54</v>
      </c>
      <c r="F212" s="38" t="s">
        <v>242</v>
      </c>
      <c r="G212" s="38" t="s">
        <v>430</v>
      </c>
      <c r="H212" s="39">
        <v>33834</v>
      </c>
      <c r="I212" s="38" t="s">
        <v>62</v>
      </c>
      <c r="J212" s="40">
        <v>60</v>
      </c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>
        <v>0</v>
      </c>
      <c r="V212" s="40">
        <v>0</v>
      </c>
      <c r="W212" s="41">
        <v>0</v>
      </c>
      <c r="X212" s="41">
        <v>0</v>
      </c>
      <c r="Y212" s="41">
        <v>0</v>
      </c>
      <c r="Z212" s="41">
        <v>0</v>
      </c>
      <c r="AA212" s="42">
        <v>80</v>
      </c>
      <c r="AB212" s="40">
        <f t="shared" si="7"/>
        <v>20</v>
      </c>
      <c r="AC212" s="43"/>
      <c r="AD212" s="80"/>
      <c r="AE212" s="80"/>
      <c r="AF212" s="80"/>
      <c r="AG212" s="80"/>
      <c r="AH212" s="80"/>
      <c r="AI212" s="80"/>
      <c r="AJ212" s="80"/>
      <c r="AK212" s="44">
        <f t="shared" si="6"/>
        <v>20</v>
      </c>
      <c r="AL212" s="81"/>
      <c r="AM212" s="81"/>
      <c r="AN212" s="82"/>
      <c r="AO212" s="83"/>
    </row>
    <row r="213" spans="1:41" ht="21" customHeight="1" x14ac:dyDescent="0.2">
      <c r="A213" s="34">
        <v>209</v>
      </c>
      <c r="B213" s="70" t="s">
        <v>438</v>
      </c>
      <c r="C213" s="71">
        <v>7549257</v>
      </c>
      <c r="D213" s="72" t="s">
        <v>53</v>
      </c>
      <c r="E213" s="73" t="s">
        <v>54</v>
      </c>
      <c r="F213" s="72" t="s">
        <v>201</v>
      </c>
      <c r="G213" s="72" t="s">
        <v>8</v>
      </c>
      <c r="H213" s="74">
        <v>36789</v>
      </c>
      <c r="I213" s="72" t="s">
        <v>11</v>
      </c>
      <c r="J213" s="75">
        <v>318.39999999999998</v>
      </c>
      <c r="K213" s="75">
        <v>50</v>
      </c>
      <c r="L213" s="75">
        <v>27.4</v>
      </c>
      <c r="M213" s="75">
        <v>38.9</v>
      </c>
      <c r="N213" s="75">
        <v>25.1</v>
      </c>
      <c r="O213" s="75">
        <v>26.6</v>
      </c>
      <c r="P213" s="75">
        <v>48.4</v>
      </c>
      <c r="Q213" s="75"/>
      <c r="R213" s="75"/>
      <c r="S213" s="75"/>
      <c r="T213" s="75"/>
      <c r="U213" s="75">
        <v>0</v>
      </c>
      <c r="V213" s="75">
        <v>0</v>
      </c>
      <c r="W213" s="41">
        <v>0</v>
      </c>
      <c r="X213" s="41">
        <v>0</v>
      </c>
      <c r="Y213" s="41">
        <v>0</v>
      </c>
      <c r="Z213" s="41">
        <v>0</v>
      </c>
      <c r="AA213" s="77">
        <v>540</v>
      </c>
      <c r="AB213" s="40">
        <f t="shared" si="7"/>
        <v>5.2000000000000455</v>
      </c>
      <c r="AC213" s="76"/>
      <c r="AD213" s="76"/>
      <c r="AE213" s="76"/>
      <c r="AF213" s="76"/>
      <c r="AG213" s="76"/>
      <c r="AH213" s="76"/>
      <c r="AI213" s="76"/>
      <c r="AJ213" s="76"/>
      <c r="AK213" s="78">
        <f t="shared" si="6"/>
        <v>5.2000000000000455</v>
      </c>
      <c r="AL213" s="65"/>
      <c r="AM213" s="65"/>
      <c r="AN213" s="78"/>
      <c r="AO213" s="73"/>
    </row>
    <row r="214" spans="1:41" ht="21" customHeight="1" x14ac:dyDescent="0.2">
      <c r="A214" s="34">
        <v>210</v>
      </c>
      <c r="B214" s="35" t="s">
        <v>439</v>
      </c>
      <c r="C214" s="36">
        <v>24488950</v>
      </c>
      <c r="D214" s="38" t="s">
        <v>53</v>
      </c>
      <c r="E214" s="37" t="s">
        <v>54</v>
      </c>
      <c r="F214" s="38" t="s">
        <v>17</v>
      </c>
      <c r="G214" s="38" t="s">
        <v>8</v>
      </c>
      <c r="H214" s="39">
        <v>29983</v>
      </c>
      <c r="I214" s="38" t="s">
        <v>11</v>
      </c>
      <c r="J214" s="40">
        <v>55.3</v>
      </c>
      <c r="K214" s="40"/>
      <c r="L214" s="40">
        <v>17.600000000000001</v>
      </c>
      <c r="M214" s="40">
        <v>12.5</v>
      </c>
      <c r="N214" s="40">
        <v>18</v>
      </c>
      <c r="O214" s="40">
        <v>7.5</v>
      </c>
      <c r="P214" s="40">
        <v>4</v>
      </c>
      <c r="Q214" s="40"/>
      <c r="R214" s="40"/>
      <c r="S214" s="40">
        <v>23.7</v>
      </c>
      <c r="T214" s="40"/>
      <c r="U214" s="40">
        <v>3.8</v>
      </c>
      <c r="V214" s="40">
        <v>1.5</v>
      </c>
      <c r="W214" s="41">
        <v>9.6</v>
      </c>
      <c r="X214" s="41">
        <v>0</v>
      </c>
      <c r="Y214" s="41">
        <v>0</v>
      </c>
      <c r="Z214" s="41">
        <v>0</v>
      </c>
      <c r="AA214" s="42">
        <v>540</v>
      </c>
      <c r="AB214" s="40">
        <f t="shared" si="7"/>
        <v>386.5</v>
      </c>
      <c r="AC214" s="43"/>
      <c r="AD214" s="41"/>
      <c r="AE214" s="41"/>
      <c r="AF214" s="41"/>
      <c r="AG214" s="41"/>
      <c r="AH214" s="41"/>
      <c r="AI214" s="41"/>
      <c r="AJ214" s="41"/>
      <c r="AK214" s="44">
        <f t="shared" si="6"/>
        <v>386.5</v>
      </c>
      <c r="AL214" s="45"/>
      <c r="AM214" s="45"/>
      <c r="AN214" s="44"/>
      <c r="AO214" s="46"/>
    </row>
    <row r="215" spans="1:41" ht="21" customHeight="1" x14ac:dyDescent="0.2">
      <c r="A215" s="34">
        <v>211</v>
      </c>
      <c r="B215" s="35" t="s">
        <v>440</v>
      </c>
      <c r="C215" s="36">
        <v>31287177</v>
      </c>
      <c r="D215" s="38" t="s">
        <v>53</v>
      </c>
      <c r="E215" s="37" t="s">
        <v>54</v>
      </c>
      <c r="F215" s="38" t="s">
        <v>201</v>
      </c>
      <c r="G215" s="38" t="s">
        <v>8</v>
      </c>
      <c r="H215" s="39">
        <v>31895</v>
      </c>
      <c r="I215" s="38" t="s">
        <v>11</v>
      </c>
      <c r="J215" s="40">
        <v>115.4</v>
      </c>
      <c r="K215" s="40"/>
      <c r="L215" s="40"/>
      <c r="M215" s="40"/>
      <c r="N215" s="40"/>
      <c r="O215" s="40"/>
      <c r="P215" s="40">
        <v>190.7</v>
      </c>
      <c r="Q215" s="40">
        <v>48</v>
      </c>
      <c r="R215" s="40">
        <v>20.9</v>
      </c>
      <c r="S215" s="40">
        <v>25</v>
      </c>
      <c r="T215" s="40">
        <v>21.8</v>
      </c>
      <c r="U215" s="40">
        <v>13.3</v>
      </c>
      <c r="V215" s="40">
        <v>4</v>
      </c>
      <c r="W215" s="41">
        <v>23.5</v>
      </c>
      <c r="X215" s="41">
        <v>9.5</v>
      </c>
      <c r="Y215" s="41">
        <v>0</v>
      </c>
      <c r="Z215" s="41">
        <v>10.4</v>
      </c>
      <c r="AA215" s="42">
        <v>540</v>
      </c>
      <c r="AB215" s="40">
        <f t="shared" si="7"/>
        <v>57.5</v>
      </c>
      <c r="AC215" s="43"/>
      <c r="AD215" s="41"/>
      <c r="AE215" s="41"/>
      <c r="AF215" s="41"/>
      <c r="AG215" s="41"/>
      <c r="AH215" s="41"/>
      <c r="AI215" s="41"/>
      <c r="AJ215" s="41"/>
      <c r="AK215" s="44">
        <f t="shared" si="6"/>
        <v>57.5</v>
      </c>
      <c r="AL215" s="45"/>
      <c r="AM215" s="45"/>
      <c r="AN215" s="44"/>
      <c r="AO215" s="46"/>
    </row>
    <row r="216" spans="1:41" ht="21" customHeight="1" x14ac:dyDescent="0.2">
      <c r="A216" s="34">
        <v>212</v>
      </c>
      <c r="B216" s="35" t="s">
        <v>441</v>
      </c>
      <c r="C216" s="36">
        <v>7535884</v>
      </c>
      <c r="D216" s="38" t="s">
        <v>53</v>
      </c>
      <c r="E216" s="37" t="s">
        <v>54</v>
      </c>
      <c r="F216" s="38" t="s">
        <v>442</v>
      </c>
      <c r="G216" s="38" t="s">
        <v>8</v>
      </c>
      <c r="H216" s="39">
        <v>32545</v>
      </c>
      <c r="I216" s="38" t="s">
        <v>22</v>
      </c>
      <c r="J216" s="40">
        <v>110</v>
      </c>
      <c r="K216" s="40">
        <v>1.5</v>
      </c>
      <c r="L216" s="40"/>
      <c r="M216" s="40"/>
      <c r="N216" s="40"/>
      <c r="O216" s="40"/>
      <c r="P216" s="40"/>
      <c r="Q216" s="40"/>
      <c r="R216" s="40"/>
      <c r="S216" s="40"/>
      <c r="T216" s="40"/>
      <c r="U216" s="40">
        <v>0</v>
      </c>
      <c r="V216" s="40">
        <v>0</v>
      </c>
      <c r="W216" s="41">
        <v>0</v>
      </c>
      <c r="X216" s="41">
        <v>0</v>
      </c>
      <c r="Y216" s="41">
        <v>0</v>
      </c>
      <c r="Z216" s="41">
        <v>0</v>
      </c>
      <c r="AA216" s="42">
        <v>160</v>
      </c>
      <c r="AB216" s="40">
        <f t="shared" si="7"/>
        <v>48.5</v>
      </c>
      <c r="AC216" s="43"/>
      <c r="AD216" s="41"/>
      <c r="AE216" s="80"/>
      <c r="AF216" s="80"/>
      <c r="AG216" s="41"/>
      <c r="AH216" s="41"/>
      <c r="AI216" s="41"/>
      <c r="AJ216" s="41"/>
      <c r="AK216" s="44">
        <f t="shared" si="6"/>
        <v>48.5</v>
      </c>
      <c r="AL216" s="81"/>
      <c r="AM216" s="81"/>
      <c r="AN216" s="82"/>
      <c r="AO216" s="113"/>
    </row>
    <row r="217" spans="1:41" ht="21" customHeight="1" x14ac:dyDescent="0.2">
      <c r="A217" s="34">
        <v>213</v>
      </c>
      <c r="B217" s="35" t="s">
        <v>443</v>
      </c>
      <c r="C217" s="36">
        <v>41893527</v>
      </c>
      <c r="D217" s="38" t="s">
        <v>53</v>
      </c>
      <c r="E217" s="37" t="s">
        <v>54</v>
      </c>
      <c r="F217" s="38" t="s">
        <v>201</v>
      </c>
      <c r="G217" s="38" t="s">
        <v>8</v>
      </c>
      <c r="H217" s="39">
        <v>40945</v>
      </c>
      <c r="I217" s="38" t="s">
        <v>11</v>
      </c>
      <c r="J217" s="40"/>
      <c r="K217" s="40"/>
      <c r="L217" s="40"/>
      <c r="M217" s="40">
        <v>56.7</v>
      </c>
      <c r="N217" s="40">
        <v>2.7</v>
      </c>
      <c r="O217" s="40">
        <v>7.5</v>
      </c>
      <c r="P217" s="40">
        <v>3</v>
      </c>
      <c r="Q217" s="40">
        <v>27</v>
      </c>
      <c r="R217" s="40">
        <v>39</v>
      </c>
      <c r="S217" s="40">
        <v>7.5</v>
      </c>
      <c r="T217" s="40"/>
      <c r="U217" s="40">
        <v>0</v>
      </c>
      <c r="V217" s="40">
        <v>12.5</v>
      </c>
      <c r="W217" s="41">
        <v>0</v>
      </c>
      <c r="X217" s="41">
        <v>0</v>
      </c>
      <c r="Y217" s="41">
        <v>14.3</v>
      </c>
      <c r="Z217" s="41">
        <v>0</v>
      </c>
      <c r="AA217" s="42">
        <v>540</v>
      </c>
      <c r="AB217" s="40">
        <f t="shared" si="7"/>
        <v>369.79999999999995</v>
      </c>
      <c r="AC217" s="43"/>
      <c r="AD217" s="41"/>
      <c r="AE217" s="41"/>
      <c r="AF217" s="41"/>
      <c r="AG217" s="41"/>
      <c r="AH217" s="41"/>
      <c r="AI217" s="41"/>
      <c r="AJ217" s="41"/>
      <c r="AK217" s="44">
        <f t="shared" si="6"/>
        <v>369.79999999999995</v>
      </c>
      <c r="AL217" s="45"/>
      <c r="AM217" s="45"/>
      <c r="AN217" s="44"/>
      <c r="AO217" s="46"/>
    </row>
    <row r="218" spans="1:41" ht="21" customHeight="1" x14ac:dyDescent="0.2">
      <c r="A218" s="34">
        <v>214</v>
      </c>
      <c r="B218" s="35" t="s">
        <v>444</v>
      </c>
      <c r="C218" s="36">
        <v>89000816</v>
      </c>
      <c r="D218" s="38" t="s">
        <v>53</v>
      </c>
      <c r="E218" s="37" t="s">
        <v>54</v>
      </c>
      <c r="F218" s="38" t="s">
        <v>17</v>
      </c>
      <c r="G218" s="38" t="s">
        <v>8</v>
      </c>
      <c r="H218" s="39">
        <v>44963</v>
      </c>
      <c r="I218" s="38" t="s">
        <v>62</v>
      </c>
      <c r="J218" s="40"/>
      <c r="K218" s="40"/>
      <c r="L218" s="40"/>
      <c r="M218" s="40"/>
      <c r="N218" s="40"/>
      <c r="O218" s="40"/>
      <c r="P218" s="124"/>
      <c r="Q218" s="40"/>
      <c r="R218" s="40"/>
      <c r="S218" s="40"/>
      <c r="T218" s="40"/>
      <c r="U218" s="40"/>
      <c r="V218" s="40"/>
      <c r="W218" s="41"/>
      <c r="X218" s="41">
        <v>0</v>
      </c>
      <c r="Y218" s="41">
        <v>0</v>
      </c>
      <c r="Z218" s="41">
        <v>0</v>
      </c>
      <c r="AA218" s="42">
        <v>80</v>
      </c>
      <c r="AB218" s="40">
        <f t="shared" si="7"/>
        <v>80</v>
      </c>
      <c r="AC218" s="43"/>
      <c r="AD218" s="41"/>
      <c r="AE218" s="41"/>
      <c r="AF218" s="41"/>
      <c r="AG218" s="41"/>
      <c r="AH218" s="41"/>
      <c r="AI218" s="41"/>
      <c r="AJ218" s="41"/>
      <c r="AK218" s="44">
        <f t="shared" si="6"/>
        <v>80</v>
      </c>
      <c r="AL218" s="45"/>
      <c r="AM218" s="45"/>
      <c r="AN218" s="44"/>
      <c r="AO218" s="46"/>
    </row>
    <row r="219" spans="1:41" ht="21" customHeight="1" x14ac:dyDescent="0.2">
      <c r="A219" s="34">
        <v>215</v>
      </c>
      <c r="B219" s="35" t="s">
        <v>445</v>
      </c>
      <c r="C219" s="122">
        <v>18394854</v>
      </c>
      <c r="D219" s="38" t="s">
        <v>53</v>
      </c>
      <c r="E219" s="37" t="s">
        <v>54</v>
      </c>
      <c r="F219" s="38" t="s">
        <v>201</v>
      </c>
      <c r="G219" s="38" t="s">
        <v>8</v>
      </c>
      <c r="H219" s="39">
        <v>41872</v>
      </c>
      <c r="I219" s="38" t="s">
        <v>10</v>
      </c>
      <c r="J219" s="40"/>
      <c r="K219" s="40"/>
      <c r="L219" s="40"/>
      <c r="M219" s="40"/>
      <c r="N219" s="40"/>
      <c r="O219" s="40">
        <v>37.5</v>
      </c>
      <c r="P219" s="40">
        <v>11.2</v>
      </c>
      <c r="Q219" s="40">
        <v>6</v>
      </c>
      <c r="R219" s="40">
        <v>19.2</v>
      </c>
      <c r="S219" s="40">
        <v>20.9</v>
      </c>
      <c r="T219" s="40">
        <v>3</v>
      </c>
      <c r="U219" s="40">
        <v>3.8</v>
      </c>
      <c r="V219" s="40">
        <v>16.3</v>
      </c>
      <c r="W219" s="41">
        <v>9.6</v>
      </c>
      <c r="X219" s="41">
        <v>12.5</v>
      </c>
      <c r="Y219" s="41">
        <v>5</v>
      </c>
      <c r="Z219" s="41">
        <v>5</v>
      </c>
      <c r="AA219" s="42">
        <v>320</v>
      </c>
      <c r="AB219" s="40">
        <f t="shared" si="7"/>
        <v>170</v>
      </c>
      <c r="AC219" s="43"/>
      <c r="AD219" s="41"/>
      <c r="AE219" s="41"/>
      <c r="AF219" s="41"/>
      <c r="AG219" s="41"/>
      <c r="AH219" s="41"/>
      <c r="AI219" s="41"/>
      <c r="AJ219" s="41"/>
      <c r="AK219" s="44">
        <f t="shared" si="6"/>
        <v>170</v>
      </c>
      <c r="AL219" s="45"/>
      <c r="AM219" s="45"/>
      <c r="AN219" s="44"/>
      <c r="AO219" s="46"/>
    </row>
    <row r="220" spans="1:41" ht="21" customHeight="1" x14ac:dyDescent="0.2">
      <c r="A220" s="34">
        <v>216</v>
      </c>
      <c r="B220" s="35" t="s">
        <v>446</v>
      </c>
      <c r="C220" s="36">
        <v>73076926</v>
      </c>
      <c r="D220" s="38" t="s">
        <v>53</v>
      </c>
      <c r="E220" s="37" t="s">
        <v>54</v>
      </c>
      <c r="F220" s="38" t="s">
        <v>242</v>
      </c>
      <c r="G220" s="38" t="s">
        <v>430</v>
      </c>
      <c r="H220" s="39">
        <v>38937</v>
      </c>
      <c r="I220" s="38" t="s">
        <v>11</v>
      </c>
      <c r="J220" s="40">
        <v>10.8</v>
      </c>
      <c r="K220" s="40"/>
      <c r="L220" s="40">
        <v>7</v>
      </c>
      <c r="M220" s="40">
        <v>6</v>
      </c>
      <c r="N220" s="40">
        <v>27</v>
      </c>
      <c r="O220" s="40"/>
      <c r="P220" s="40">
        <v>12</v>
      </c>
      <c r="Q220" s="40">
        <v>6</v>
      </c>
      <c r="R220" s="40">
        <v>12</v>
      </c>
      <c r="S220" s="40"/>
      <c r="T220" s="40">
        <v>18</v>
      </c>
      <c r="U220" s="40">
        <v>0</v>
      </c>
      <c r="V220" s="40">
        <v>0</v>
      </c>
      <c r="W220" s="41">
        <v>0.9</v>
      </c>
      <c r="X220" s="41">
        <v>0</v>
      </c>
      <c r="Y220" s="41">
        <v>4</v>
      </c>
      <c r="Z220" s="41">
        <v>6</v>
      </c>
      <c r="AA220" s="42">
        <v>540</v>
      </c>
      <c r="AB220" s="40">
        <f t="shared" si="7"/>
        <v>430.3</v>
      </c>
      <c r="AC220" s="43"/>
      <c r="AD220" s="41"/>
      <c r="AE220" s="41"/>
      <c r="AF220" s="41"/>
      <c r="AG220" s="41"/>
      <c r="AH220" s="41"/>
      <c r="AI220" s="41"/>
      <c r="AJ220" s="41"/>
      <c r="AK220" s="44">
        <f t="shared" si="6"/>
        <v>430.3</v>
      </c>
      <c r="AL220" s="45"/>
      <c r="AM220" s="45"/>
      <c r="AN220" s="44"/>
      <c r="AO220" s="46"/>
    </row>
    <row r="221" spans="1:41" ht="21" customHeight="1" x14ac:dyDescent="0.2">
      <c r="A221" s="34">
        <v>217</v>
      </c>
      <c r="B221" s="35" t="s">
        <v>447</v>
      </c>
      <c r="C221" s="36">
        <v>18593326</v>
      </c>
      <c r="D221" s="38" t="s">
        <v>53</v>
      </c>
      <c r="E221" s="37" t="s">
        <v>54</v>
      </c>
      <c r="F221" s="38" t="s">
        <v>242</v>
      </c>
      <c r="G221" s="38" t="s">
        <v>430</v>
      </c>
      <c r="H221" s="39">
        <v>40392</v>
      </c>
      <c r="I221" s="38" t="s">
        <v>62</v>
      </c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>
        <v>0</v>
      </c>
      <c r="V221" s="40">
        <v>0</v>
      </c>
      <c r="W221" s="41">
        <v>0</v>
      </c>
      <c r="X221" s="41">
        <v>0</v>
      </c>
      <c r="Y221" s="41">
        <v>0</v>
      </c>
      <c r="Z221" s="41">
        <v>0</v>
      </c>
      <c r="AA221" s="42">
        <v>80</v>
      </c>
      <c r="AB221" s="40">
        <f t="shared" si="7"/>
        <v>80</v>
      </c>
      <c r="AC221" s="43"/>
      <c r="AD221" s="41"/>
      <c r="AE221" s="41"/>
      <c r="AF221" s="41"/>
      <c r="AG221" s="41"/>
      <c r="AH221" s="41"/>
      <c r="AI221" s="41"/>
      <c r="AJ221" s="41"/>
      <c r="AK221" s="44">
        <f t="shared" si="6"/>
        <v>80</v>
      </c>
      <c r="AL221" s="45"/>
      <c r="AM221" s="45"/>
      <c r="AN221" s="44"/>
      <c r="AO221" s="46"/>
    </row>
    <row r="222" spans="1:41" ht="21" customHeight="1" x14ac:dyDescent="0.2">
      <c r="A222" s="34">
        <v>218</v>
      </c>
      <c r="B222" s="35" t="s">
        <v>448</v>
      </c>
      <c r="C222" s="36">
        <v>7535611</v>
      </c>
      <c r="D222" s="38" t="s">
        <v>53</v>
      </c>
      <c r="E222" s="37" t="s">
        <v>54</v>
      </c>
      <c r="F222" s="38" t="s">
        <v>17</v>
      </c>
      <c r="G222" s="38" t="s">
        <v>8</v>
      </c>
      <c r="H222" s="39">
        <v>34366</v>
      </c>
      <c r="I222" s="38" t="s">
        <v>10</v>
      </c>
      <c r="J222" s="40">
        <v>28.1</v>
      </c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>
        <v>0</v>
      </c>
      <c r="V222" s="40">
        <v>0</v>
      </c>
      <c r="W222" s="41">
        <v>0</v>
      </c>
      <c r="X222" s="41">
        <v>0</v>
      </c>
      <c r="Y222" s="41">
        <v>0</v>
      </c>
      <c r="Z222" s="41">
        <v>0</v>
      </c>
      <c r="AA222" s="42">
        <v>320</v>
      </c>
      <c r="AB222" s="40">
        <f t="shared" si="7"/>
        <v>291.89999999999998</v>
      </c>
      <c r="AC222" s="43"/>
      <c r="AD222" s="41"/>
      <c r="AE222" s="41"/>
      <c r="AF222" s="41"/>
      <c r="AG222" s="41"/>
      <c r="AH222" s="41"/>
      <c r="AI222" s="41"/>
      <c r="AJ222" s="41"/>
      <c r="AK222" s="44">
        <f t="shared" si="6"/>
        <v>291.89999999999998</v>
      </c>
      <c r="AL222" s="45"/>
      <c r="AM222" s="45"/>
      <c r="AN222" s="44"/>
      <c r="AO222" s="46"/>
    </row>
    <row r="223" spans="1:41" ht="21" customHeight="1" x14ac:dyDescent="0.2">
      <c r="A223" s="34">
        <v>219</v>
      </c>
      <c r="B223" s="35" t="s">
        <v>449</v>
      </c>
      <c r="C223" s="125">
        <v>7545963</v>
      </c>
      <c r="D223" s="38" t="s">
        <v>58</v>
      </c>
      <c r="E223" s="37" t="s">
        <v>198</v>
      </c>
      <c r="F223" s="38" t="s">
        <v>17</v>
      </c>
      <c r="G223" s="38" t="s">
        <v>8</v>
      </c>
      <c r="H223" s="39">
        <v>35828</v>
      </c>
      <c r="I223" s="38" t="s">
        <v>11</v>
      </c>
      <c r="J223" s="40">
        <v>69.2</v>
      </c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>
        <v>0</v>
      </c>
      <c r="V223" s="40">
        <v>0</v>
      </c>
      <c r="W223" s="41">
        <v>0</v>
      </c>
      <c r="X223" s="41">
        <v>0</v>
      </c>
      <c r="Y223" s="41">
        <v>0</v>
      </c>
      <c r="Z223" s="41">
        <v>0</v>
      </c>
      <c r="AA223" s="42">
        <v>540</v>
      </c>
      <c r="AB223" s="40">
        <f t="shared" si="7"/>
        <v>470.8</v>
      </c>
      <c r="AC223" s="43"/>
      <c r="AD223" s="41"/>
      <c r="AE223" s="41"/>
      <c r="AF223" s="41"/>
      <c r="AG223" s="41"/>
      <c r="AH223" s="41"/>
      <c r="AI223" s="41"/>
      <c r="AJ223" s="41"/>
      <c r="AK223" s="44">
        <f t="shared" si="6"/>
        <v>470.8</v>
      </c>
      <c r="AL223" s="45"/>
      <c r="AM223" s="45"/>
      <c r="AN223" s="44"/>
      <c r="AO223" s="46"/>
    </row>
    <row r="224" spans="1:41" ht="21" customHeight="1" x14ac:dyDescent="0.2">
      <c r="A224" s="34">
        <v>220</v>
      </c>
      <c r="B224" s="35" t="s">
        <v>450</v>
      </c>
      <c r="C224" s="36">
        <v>7520093</v>
      </c>
      <c r="D224" s="38" t="s">
        <v>58</v>
      </c>
      <c r="E224" s="37" t="s">
        <v>198</v>
      </c>
      <c r="F224" s="38" t="s">
        <v>17</v>
      </c>
      <c r="G224" s="38" t="s">
        <v>8</v>
      </c>
      <c r="H224" s="39">
        <v>35828</v>
      </c>
      <c r="I224" s="38" t="s">
        <v>10</v>
      </c>
      <c r="J224" s="40">
        <v>44</v>
      </c>
      <c r="K224" s="40"/>
      <c r="L224" s="40"/>
      <c r="M224" s="40"/>
      <c r="N224" s="40"/>
      <c r="O224" s="40">
        <v>8</v>
      </c>
      <c r="P224" s="40"/>
      <c r="Q224" s="40"/>
      <c r="R224" s="40"/>
      <c r="S224" s="40"/>
      <c r="T224" s="40"/>
      <c r="U224" s="40">
        <v>0</v>
      </c>
      <c r="V224" s="40">
        <v>0</v>
      </c>
      <c r="W224" s="41">
        <v>0</v>
      </c>
      <c r="X224" s="41">
        <v>0</v>
      </c>
      <c r="Y224" s="41">
        <v>0</v>
      </c>
      <c r="Z224" s="41">
        <v>0</v>
      </c>
      <c r="AA224" s="42">
        <v>320</v>
      </c>
      <c r="AB224" s="40">
        <f t="shared" si="7"/>
        <v>268</v>
      </c>
      <c r="AC224" s="43"/>
      <c r="AD224" s="41"/>
      <c r="AE224" s="41"/>
      <c r="AF224" s="41"/>
      <c r="AG224" s="41"/>
      <c r="AH224" s="41"/>
      <c r="AI224" s="41"/>
      <c r="AJ224" s="41"/>
      <c r="AK224" s="44">
        <f t="shared" si="6"/>
        <v>268</v>
      </c>
      <c r="AL224" s="45"/>
      <c r="AM224" s="45"/>
      <c r="AN224" s="44"/>
      <c r="AO224" s="46"/>
    </row>
    <row r="225" spans="1:41" s="168" customFormat="1" ht="21" customHeight="1" x14ac:dyDescent="0.2">
      <c r="A225" s="34">
        <v>221</v>
      </c>
      <c r="B225" s="35" t="s">
        <v>451</v>
      </c>
      <c r="C225" s="36">
        <v>41961829</v>
      </c>
      <c r="D225" s="38" t="s">
        <v>58</v>
      </c>
      <c r="E225" s="37" t="s">
        <v>198</v>
      </c>
      <c r="F225" s="38" t="s">
        <v>21</v>
      </c>
      <c r="G225" s="38" t="s">
        <v>8</v>
      </c>
      <c r="H225" s="39">
        <v>44963</v>
      </c>
      <c r="I225" s="38" t="s">
        <v>22</v>
      </c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1"/>
      <c r="X225" s="41">
        <v>67.56</v>
      </c>
      <c r="Y225" s="41">
        <v>4</v>
      </c>
      <c r="Z225" s="41">
        <v>0</v>
      </c>
      <c r="AA225" s="42">
        <v>160</v>
      </c>
      <c r="AB225" s="40">
        <f t="shared" si="7"/>
        <v>88.44</v>
      </c>
      <c r="AC225" s="43"/>
      <c r="AD225" s="41"/>
      <c r="AE225" s="41"/>
      <c r="AF225" s="41"/>
      <c r="AG225" s="41"/>
      <c r="AH225" s="41"/>
      <c r="AI225" s="41"/>
      <c r="AJ225" s="41"/>
      <c r="AK225" s="44">
        <f t="shared" si="6"/>
        <v>88.44</v>
      </c>
      <c r="AL225" s="45"/>
      <c r="AM225" s="45"/>
      <c r="AN225" s="44"/>
      <c r="AO225" s="46"/>
    </row>
    <row r="226" spans="1:41" ht="21" customHeight="1" x14ac:dyDescent="0.2">
      <c r="A226" s="34">
        <v>222</v>
      </c>
      <c r="B226" s="35" t="s">
        <v>452</v>
      </c>
      <c r="C226" s="36">
        <v>76308181</v>
      </c>
      <c r="D226" s="38" t="s">
        <v>58</v>
      </c>
      <c r="E226" s="37" t="s">
        <v>198</v>
      </c>
      <c r="F226" s="38" t="s">
        <v>201</v>
      </c>
      <c r="G226" s="38" t="s">
        <v>8</v>
      </c>
      <c r="H226" s="39">
        <v>37288</v>
      </c>
      <c r="I226" s="38" t="s">
        <v>10</v>
      </c>
      <c r="J226" s="40">
        <v>47.2</v>
      </c>
      <c r="K226" s="40"/>
      <c r="L226" s="40">
        <v>29.5</v>
      </c>
      <c r="M226" s="40">
        <v>7.5</v>
      </c>
      <c r="N226" s="40">
        <v>7.5</v>
      </c>
      <c r="O226" s="40">
        <v>3</v>
      </c>
      <c r="P226" s="40"/>
      <c r="Q226" s="40">
        <v>6</v>
      </c>
      <c r="R226" s="40"/>
      <c r="S226" s="40">
        <v>5</v>
      </c>
      <c r="T226" s="40">
        <v>4</v>
      </c>
      <c r="U226" s="40">
        <v>1.7</v>
      </c>
      <c r="V226" s="40">
        <v>0</v>
      </c>
      <c r="W226" s="41">
        <v>11.1</v>
      </c>
      <c r="X226" s="41">
        <v>12</v>
      </c>
      <c r="Y226" s="41">
        <v>0</v>
      </c>
      <c r="Z226" s="41">
        <v>9</v>
      </c>
      <c r="AA226" s="42">
        <v>320</v>
      </c>
      <c r="AB226" s="40">
        <f t="shared" si="7"/>
        <v>176.5</v>
      </c>
      <c r="AC226" s="43"/>
      <c r="AD226" s="41"/>
      <c r="AE226" s="41"/>
      <c r="AF226" s="41"/>
      <c r="AG226" s="41"/>
      <c r="AH226" s="41"/>
      <c r="AI226" s="41"/>
      <c r="AJ226" s="41"/>
      <c r="AK226" s="44">
        <f t="shared" si="6"/>
        <v>176.5</v>
      </c>
      <c r="AL226" s="45"/>
      <c r="AM226" s="45"/>
      <c r="AN226" s="44"/>
      <c r="AO226" s="46"/>
    </row>
    <row r="227" spans="1:41" ht="21" customHeight="1" x14ac:dyDescent="0.2">
      <c r="A227" s="34">
        <v>223</v>
      </c>
      <c r="B227" s="35" t="s">
        <v>453</v>
      </c>
      <c r="C227" s="36">
        <v>41902205</v>
      </c>
      <c r="D227" s="38" t="s">
        <v>58</v>
      </c>
      <c r="E227" s="37" t="s">
        <v>198</v>
      </c>
      <c r="F227" s="38" t="s">
        <v>17</v>
      </c>
      <c r="G227" s="38" t="s">
        <v>8</v>
      </c>
      <c r="H227" s="39">
        <v>35828</v>
      </c>
      <c r="I227" s="38" t="s">
        <v>10</v>
      </c>
      <c r="J227" s="40">
        <v>86</v>
      </c>
      <c r="K227" s="40">
        <v>3</v>
      </c>
      <c r="L227" s="40"/>
      <c r="M227" s="40">
        <v>9</v>
      </c>
      <c r="N227" s="40">
        <v>17</v>
      </c>
      <c r="O227" s="40"/>
      <c r="P227" s="40">
        <v>40.799999999999997</v>
      </c>
      <c r="Q227" s="40"/>
      <c r="R227" s="40">
        <v>32.4</v>
      </c>
      <c r="S227" s="40">
        <v>18.2</v>
      </c>
      <c r="T227" s="40">
        <v>22.5</v>
      </c>
      <c r="U227" s="40">
        <v>12</v>
      </c>
      <c r="V227" s="40">
        <v>16</v>
      </c>
      <c r="W227" s="41">
        <v>0</v>
      </c>
      <c r="X227" s="41">
        <v>0</v>
      </c>
      <c r="Y227" s="41">
        <v>0</v>
      </c>
      <c r="Z227" s="41">
        <v>0</v>
      </c>
      <c r="AA227" s="42">
        <v>320</v>
      </c>
      <c r="AB227" s="40">
        <f t="shared" si="7"/>
        <v>63.100000000000023</v>
      </c>
      <c r="AC227" s="43"/>
      <c r="AD227" s="41"/>
      <c r="AE227" s="41"/>
      <c r="AF227" s="41"/>
      <c r="AG227" s="41"/>
      <c r="AH227" s="41"/>
      <c r="AI227" s="41"/>
      <c r="AJ227" s="41"/>
      <c r="AK227" s="44">
        <f t="shared" si="6"/>
        <v>63.100000000000023</v>
      </c>
      <c r="AL227" s="45"/>
      <c r="AM227" s="45"/>
      <c r="AN227" s="44"/>
      <c r="AO227" s="46"/>
    </row>
    <row r="228" spans="1:41" ht="21" customHeight="1" x14ac:dyDescent="0.2">
      <c r="A228" s="34">
        <v>224</v>
      </c>
      <c r="B228" s="35" t="s">
        <v>454</v>
      </c>
      <c r="C228" s="36">
        <v>7524166</v>
      </c>
      <c r="D228" s="38" t="s">
        <v>58</v>
      </c>
      <c r="E228" s="37" t="s">
        <v>198</v>
      </c>
      <c r="F228" s="38" t="s">
        <v>17</v>
      </c>
      <c r="G228" s="38" t="s">
        <v>8</v>
      </c>
      <c r="H228" s="39">
        <v>35828</v>
      </c>
      <c r="I228" s="38" t="s">
        <v>22</v>
      </c>
      <c r="J228" s="40">
        <v>93.2</v>
      </c>
      <c r="K228" s="40"/>
      <c r="L228" s="40">
        <v>5.4</v>
      </c>
      <c r="M228" s="40"/>
      <c r="N228" s="40"/>
      <c r="O228" s="40"/>
      <c r="P228" s="40"/>
      <c r="Q228" s="40"/>
      <c r="R228" s="40"/>
      <c r="S228" s="40"/>
      <c r="T228" s="40"/>
      <c r="U228" s="40">
        <v>0</v>
      </c>
      <c r="V228" s="40">
        <v>0</v>
      </c>
      <c r="W228" s="41">
        <v>0</v>
      </c>
      <c r="X228" s="41">
        <v>0</v>
      </c>
      <c r="Y228" s="41">
        <v>0</v>
      </c>
      <c r="Z228" s="41">
        <v>0</v>
      </c>
      <c r="AA228" s="42">
        <v>160</v>
      </c>
      <c r="AB228" s="40">
        <f t="shared" si="7"/>
        <v>61.399999999999991</v>
      </c>
      <c r="AC228" s="43"/>
      <c r="AD228" s="41"/>
      <c r="AE228" s="41"/>
      <c r="AF228" s="41"/>
      <c r="AG228" s="41"/>
      <c r="AH228" s="41"/>
      <c r="AI228" s="41"/>
      <c r="AJ228" s="41"/>
      <c r="AK228" s="44">
        <f t="shared" si="6"/>
        <v>61.399999999999991</v>
      </c>
      <c r="AL228" s="45"/>
      <c r="AM228" s="45"/>
      <c r="AN228" s="44"/>
      <c r="AO228" s="46"/>
    </row>
    <row r="229" spans="1:41" ht="21" customHeight="1" x14ac:dyDescent="0.2">
      <c r="A229" s="34">
        <v>225</v>
      </c>
      <c r="B229" s="35" t="s">
        <v>455</v>
      </c>
      <c r="C229" s="36">
        <v>4377450</v>
      </c>
      <c r="D229" s="38" t="s">
        <v>58</v>
      </c>
      <c r="E229" s="37" t="s">
        <v>198</v>
      </c>
      <c r="F229" s="38" t="s">
        <v>17</v>
      </c>
      <c r="G229" s="38" t="s">
        <v>8</v>
      </c>
      <c r="H229" s="39">
        <v>40203</v>
      </c>
      <c r="I229" s="38" t="s">
        <v>22</v>
      </c>
      <c r="J229" s="40"/>
      <c r="K229" s="40">
        <v>6</v>
      </c>
      <c r="L229" s="40"/>
      <c r="M229" s="40"/>
      <c r="N229" s="40">
        <v>6</v>
      </c>
      <c r="O229" s="40">
        <v>3</v>
      </c>
      <c r="P229" s="40"/>
      <c r="Q229" s="40">
        <v>6</v>
      </c>
      <c r="R229" s="40"/>
      <c r="S229" s="40">
        <v>4</v>
      </c>
      <c r="T229" s="40">
        <v>1</v>
      </c>
      <c r="U229" s="40">
        <v>0</v>
      </c>
      <c r="V229" s="40">
        <v>16.5</v>
      </c>
      <c r="W229" s="41">
        <v>0</v>
      </c>
      <c r="X229" s="41">
        <v>2.5</v>
      </c>
      <c r="Y229" s="41">
        <v>3.4</v>
      </c>
      <c r="Z229" s="41">
        <v>0</v>
      </c>
      <c r="AA229" s="42">
        <v>160</v>
      </c>
      <c r="AB229" s="40">
        <f t="shared" si="7"/>
        <v>111.6</v>
      </c>
      <c r="AC229" s="43"/>
      <c r="AD229" s="41"/>
      <c r="AE229" s="80"/>
      <c r="AF229" s="80"/>
      <c r="AG229" s="41"/>
      <c r="AH229" s="41"/>
      <c r="AI229" s="41"/>
      <c r="AJ229" s="41"/>
      <c r="AK229" s="44">
        <f t="shared" si="6"/>
        <v>111.6</v>
      </c>
      <c r="AL229" s="81"/>
      <c r="AM229" s="81"/>
      <c r="AN229" s="82"/>
      <c r="AO229" s="113"/>
    </row>
    <row r="230" spans="1:41" ht="21" customHeight="1" x14ac:dyDescent="0.2">
      <c r="A230" s="34">
        <v>226</v>
      </c>
      <c r="B230" s="35" t="s">
        <v>456</v>
      </c>
      <c r="C230" s="36">
        <v>19164898</v>
      </c>
      <c r="D230" s="38" t="s">
        <v>58</v>
      </c>
      <c r="E230" s="37" t="s">
        <v>198</v>
      </c>
      <c r="F230" s="38" t="s">
        <v>17</v>
      </c>
      <c r="G230" s="38" t="s">
        <v>8</v>
      </c>
      <c r="H230" s="39">
        <v>32910</v>
      </c>
      <c r="I230" s="38" t="s">
        <v>10</v>
      </c>
      <c r="J230" s="40">
        <v>26.5</v>
      </c>
      <c r="K230" s="40">
        <v>1</v>
      </c>
      <c r="L230" s="40">
        <v>12</v>
      </c>
      <c r="M230" s="40">
        <v>21</v>
      </c>
      <c r="N230" s="40"/>
      <c r="O230" s="40"/>
      <c r="P230" s="40"/>
      <c r="Q230" s="40">
        <v>22.5</v>
      </c>
      <c r="R230" s="40"/>
      <c r="S230" s="40"/>
      <c r="T230" s="40">
        <v>3</v>
      </c>
      <c r="U230" s="40">
        <v>0</v>
      </c>
      <c r="V230" s="40">
        <v>0</v>
      </c>
      <c r="W230" s="41">
        <v>0</v>
      </c>
      <c r="X230" s="41">
        <v>0</v>
      </c>
      <c r="Y230" s="41">
        <v>0</v>
      </c>
      <c r="Z230" s="41">
        <v>0</v>
      </c>
      <c r="AA230" s="42">
        <v>320</v>
      </c>
      <c r="AB230" s="40">
        <f t="shared" si="7"/>
        <v>234</v>
      </c>
      <c r="AC230" s="43"/>
      <c r="AD230" s="41"/>
      <c r="AE230" s="41"/>
      <c r="AF230" s="41"/>
      <c r="AG230" s="41"/>
      <c r="AH230" s="41"/>
      <c r="AI230" s="41"/>
      <c r="AJ230" s="41"/>
      <c r="AK230" s="44">
        <f t="shared" si="6"/>
        <v>234</v>
      </c>
      <c r="AL230" s="45"/>
      <c r="AM230" s="45"/>
      <c r="AN230" s="44"/>
      <c r="AO230" s="46"/>
    </row>
    <row r="231" spans="1:41" ht="21" customHeight="1" x14ac:dyDescent="0.2">
      <c r="A231" s="34">
        <v>227</v>
      </c>
      <c r="B231" s="86" t="s">
        <v>457</v>
      </c>
      <c r="C231" s="87">
        <v>7563112</v>
      </c>
      <c r="D231" s="88" t="s">
        <v>58</v>
      </c>
      <c r="E231" s="89" t="s">
        <v>198</v>
      </c>
      <c r="F231" s="88" t="s">
        <v>21</v>
      </c>
      <c r="G231" s="88" t="s">
        <v>8</v>
      </c>
      <c r="H231" s="90">
        <v>40947</v>
      </c>
      <c r="I231" s="88" t="s">
        <v>10</v>
      </c>
      <c r="J231" s="75"/>
      <c r="K231" s="75"/>
      <c r="L231" s="75"/>
      <c r="M231" s="75">
        <v>6</v>
      </c>
      <c r="N231" s="75">
        <v>30</v>
      </c>
      <c r="O231" s="75"/>
      <c r="P231" s="75">
        <v>43.2</v>
      </c>
      <c r="Q231" s="75">
        <v>12</v>
      </c>
      <c r="R231" s="75">
        <v>44.4</v>
      </c>
      <c r="S231" s="75"/>
      <c r="T231" s="75"/>
      <c r="U231" s="75">
        <v>16</v>
      </c>
      <c r="V231" s="75">
        <v>0</v>
      </c>
      <c r="W231" s="41">
        <v>0</v>
      </c>
      <c r="X231" s="41">
        <v>0</v>
      </c>
      <c r="Y231" s="41">
        <v>0</v>
      </c>
      <c r="Z231" s="41">
        <v>0</v>
      </c>
      <c r="AA231" s="42">
        <v>320</v>
      </c>
      <c r="AB231" s="40">
        <f t="shared" si="7"/>
        <v>168.4</v>
      </c>
      <c r="AC231" s="43"/>
      <c r="AD231" s="41"/>
      <c r="AE231" s="80"/>
      <c r="AF231" s="80"/>
      <c r="AG231" s="41"/>
      <c r="AH231" s="41"/>
      <c r="AI231" s="41"/>
      <c r="AJ231" s="41"/>
      <c r="AK231" s="44">
        <f t="shared" si="6"/>
        <v>168.4</v>
      </c>
      <c r="AL231" s="81"/>
      <c r="AM231" s="81"/>
      <c r="AN231" s="82"/>
      <c r="AO231" s="113"/>
    </row>
    <row r="232" spans="1:41" ht="27" customHeight="1" x14ac:dyDescent="0.2">
      <c r="A232" s="34">
        <v>228</v>
      </c>
      <c r="B232" s="54" t="s">
        <v>458</v>
      </c>
      <c r="C232" s="55">
        <v>42086140</v>
      </c>
      <c r="D232" s="57" t="s">
        <v>58</v>
      </c>
      <c r="E232" s="56" t="s">
        <v>198</v>
      </c>
      <c r="F232" s="57" t="s">
        <v>201</v>
      </c>
      <c r="G232" s="57" t="s">
        <v>8</v>
      </c>
      <c r="H232" s="58">
        <v>39142</v>
      </c>
      <c r="I232" s="57" t="s">
        <v>10</v>
      </c>
      <c r="J232" s="59">
        <v>26.1</v>
      </c>
      <c r="K232" s="59">
        <v>4.5</v>
      </c>
      <c r="L232" s="59">
        <v>18</v>
      </c>
      <c r="M232" s="59"/>
      <c r="N232" s="59">
        <v>15</v>
      </c>
      <c r="O232" s="59">
        <v>1.5</v>
      </c>
      <c r="P232" s="59">
        <v>3.3</v>
      </c>
      <c r="Q232" s="59"/>
      <c r="R232" s="59">
        <v>4.5</v>
      </c>
      <c r="S232" s="59"/>
      <c r="T232" s="59">
        <v>1.5</v>
      </c>
      <c r="U232" s="59">
        <v>0</v>
      </c>
      <c r="V232" s="59">
        <v>0</v>
      </c>
      <c r="W232" s="60">
        <v>0</v>
      </c>
      <c r="X232" s="60">
        <v>0</v>
      </c>
      <c r="Y232" s="60">
        <v>10</v>
      </c>
      <c r="Z232" s="60">
        <v>6.7</v>
      </c>
      <c r="AA232" s="61">
        <v>320</v>
      </c>
      <c r="AB232" s="59">
        <f t="shared" si="7"/>
        <v>228.9</v>
      </c>
      <c r="AC232" s="62"/>
      <c r="AD232" s="60"/>
      <c r="AE232" s="60"/>
      <c r="AF232" s="60"/>
      <c r="AG232" s="60"/>
      <c r="AH232" s="60"/>
      <c r="AI232" s="60"/>
      <c r="AJ232" s="60"/>
      <c r="AK232" s="63">
        <f t="shared" si="6"/>
        <v>228.9</v>
      </c>
      <c r="AL232" s="64"/>
      <c r="AM232" s="64"/>
      <c r="AN232" s="67" t="s">
        <v>459</v>
      </c>
      <c r="AO232" s="68" t="s">
        <v>460</v>
      </c>
    </row>
    <row r="233" spans="1:41" ht="25.5" x14ac:dyDescent="0.2">
      <c r="A233" s="34">
        <v>229</v>
      </c>
      <c r="B233" s="126" t="s">
        <v>461</v>
      </c>
      <c r="C233" s="127">
        <v>18497593</v>
      </c>
      <c r="D233" s="128" t="s">
        <v>58</v>
      </c>
      <c r="E233" s="129" t="s">
        <v>198</v>
      </c>
      <c r="F233" s="128" t="s">
        <v>17</v>
      </c>
      <c r="G233" s="128" t="s">
        <v>8</v>
      </c>
      <c r="H233" s="130">
        <v>42955</v>
      </c>
      <c r="I233" s="128" t="s">
        <v>10</v>
      </c>
      <c r="J233" s="131"/>
      <c r="K233" s="131"/>
      <c r="L233" s="131"/>
      <c r="M233" s="131"/>
      <c r="N233" s="131"/>
      <c r="O233" s="131"/>
      <c r="P233" s="131"/>
      <c r="Q233" s="131"/>
      <c r="R233" s="131">
        <v>124.1</v>
      </c>
      <c r="S233" s="131">
        <v>8</v>
      </c>
      <c r="T233" s="131">
        <v>13.8</v>
      </c>
      <c r="U233" s="131">
        <v>3</v>
      </c>
      <c r="V233" s="131">
        <v>0</v>
      </c>
      <c r="W233" s="60">
        <v>8</v>
      </c>
      <c r="X233" s="60">
        <v>6</v>
      </c>
      <c r="Y233" s="60">
        <v>6</v>
      </c>
      <c r="Z233" s="60">
        <v>8</v>
      </c>
      <c r="AA233" s="132">
        <v>320</v>
      </c>
      <c r="AB233" s="59">
        <f t="shared" si="7"/>
        <v>143.1</v>
      </c>
      <c r="AC233" s="62"/>
      <c r="AD233" s="60"/>
      <c r="AE233" s="133"/>
      <c r="AF233" s="134"/>
      <c r="AG233" s="60"/>
      <c r="AH233" s="60"/>
      <c r="AI233" s="60"/>
      <c r="AJ233" s="60"/>
      <c r="AK233" s="63">
        <f t="shared" si="6"/>
        <v>143.1</v>
      </c>
      <c r="AL233" s="120"/>
      <c r="AM233" s="120"/>
      <c r="AN233" s="104" t="s">
        <v>462</v>
      </c>
      <c r="AO233" s="68" t="s">
        <v>463</v>
      </c>
    </row>
    <row r="234" spans="1:41" ht="21" customHeight="1" x14ac:dyDescent="0.2">
      <c r="A234" s="34">
        <v>230</v>
      </c>
      <c r="B234" s="35" t="s">
        <v>464</v>
      </c>
      <c r="C234" s="36">
        <v>91493800</v>
      </c>
      <c r="D234" s="38" t="s">
        <v>58</v>
      </c>
      <c r="E234" s="37" t="s">
        <v>198</v>
      </c>
      <c r="F234" s="38" t="s">
        <v>17</v>
      </c>
      <c r="G234" s="38" t="s">
        <v>8</v>
      </c>
      <c r="H234" s="39">
        <v>39664</v>
      </c>
      <c r="I234" s="38" t="s">
        <v>22</v>
      </c>
      <c r="J234" s="40"/>
      <c r="K234" s="40"/>
      <c r="L234" s="40"/>
      <c r="M234" s="40"/>
      <c r="N234" s="40"/>
      <c r="O234" s="40">
        <v>3</v>
      </c>
      <c r="P234" s="40"/>
      <c r="Q234" s="40">
        <v>6</v>
      </c>
      <c r="R234" s="40"/>
      <c r="S234" s="40">
        <v>4</v>
      </c>
      <c r="T234" s="40"/>
      <c r="U234" s="40">
        <v>0</v>
      </c>
      <c r="V234" s="40">
        <v>0</v>
      </c>
      <c r="W234" s="41">
        <v>0</v>
      </c>
      <c r="X234" s="41">
        <v>7.5</v>
      </c>
      <c r="Y234" s="41">
        <v>0</v>
      </c>
      <c r="Z234" s="41">
        <v>0</v>
      </c>
      <c r="AA234" s="42">
        <v>160</v>
      </c>
      <c r="AB234" s="40">
        <f t="shared" si="7"/>
        <v>139.5</v>
      </c>
      <c r="AC234" s="43"/>
      <c r="AD234" s="41"/>
      <c r="AE234" s="41"/>
      <c r="AF234" s="41"/>
      <c r="AG234" s="41"/>
      <c r="AH234" s="41"/>
      <c r="AI234" s="41"/>
      <c r="AJ234" s="41"/>
      <c r="AK234" s="44">
        <f t="shared" si="6"/>
        <v>139.5</v>
      </c>
      <c r="AL234" s="45"/>
      <c r="AM234" s="45"/>
      <c r="AN234" s="44"/>
      <c r="AO234" s="46"/>
    </row>
    <row r="235" spans="1:41" ht="21" customHeight="1" x14ac:dyDescent="0.2">
      <c r="A235" s="34">
        <v>231</v>
      </c>
      <c r="B235" s="70" t="s">
        <v>465</v>
      </c>
      <c r="C235" s="71">
        <v>1094890604</v>
      </c>
      <c r="D235" s="72" t="s">
        <v>58</v>
      </c>
      <c r="E235" s="73" t="s">
        <v>198</v>
      </c>
      <c r="F235" s="72" t="s">
        <v>21</v>
      </c>
      <c r="G235" s="72" t="s">
        <v>8</v>
      </c>
      <c r="H235" s="74">
        <v>44963</v>
      </c>
      <c r="I235" s="72" t="s">
        <v>22</v>
      </c>
      <c r="J235" s="75"/>
      <c r="K235" s="75"/>
      <c r="L235" s="75"/>
      <c r="M235" s="75"/>
      <c r="N235" s="75"/>
      <c r="O235" s="75"/>
      <c r="P235" s="75"/>
      <c r="Q235" s="75"/>
      <c r="R235" s="75"/>
      <c r="S235" s="75"/>
      <c r="T235" s="75"/>
      <c r="U235" s="75"/>
      <c r="V235" s="75"/>
      <c r="W235" s="76"/>
      <c r="X235" s="76">
        <v>160</v>
      </c>
      <c r="Y235" s="76">
        <v>0</v>
      </c>
      <c r="Z235" s="76">
        <v>0</v>
      </c>
      <c r="AA235" s="77">
        <v>160</v>
      </c>
      <c r="AB235" s="40">
        <f t="shared" si="7"/>
        <v>0</v>
      </c>
      <c r="AC235" s="76"/>
      <c r="AD235" s="76"/>
      <c r="AE235" s="76"/>
      <c r="AF235" s="76"/>
      <c r="AG235" s="76"/>
      <c r="AH235" s="76"/>
      <c r="AI235" s="76"/>
      <c r="AJ235" s="76"/>
      <c r="AK235" s="78">
        <f t="shared" si="6"/>
        <v>0</v>
      </c>
      <c r="AL235" s="65"/>
      <c r="AM235" s="65"/>
      <c r="AN235" s="78"/>
      <c r="AO235" s="79"/>
    </row>
    <row r="236" spans="1:41" ht="21" customHeight="1" x14ac:dyDescent="0.2">
      <c r="A236" s="34">
        <v>232</v>
      </c>
      <c r="B236" s="35" t="s">
        <v>466</v>
      </c>
      <c r="C236" s="36">
        <v>41912331</v>
      </c>
      <c r="D236" s="37" t="s">
        <v>60</v>
      </c>
      <c r="E236" s="37" t="s">
        <v>54</v>
      </c>
      <c r="F236" s="38" t="s">
        <v>201</v>
      </c>
      <c r="G236" s="38" t="s">
        <v>8</v>
      </c>
      <c r="H236" s="39">
        <v>38041</v>
      </c>
      <c r="I236" s="38" t="s">
        <v>10</v>
      </c>
      <c r="J236" s="40"/>
      <c r="K236" s="40"/>
      <c r="L236" s="40">
        <v>3</v>
      </c>
      <c r="M236" s="40">
        <v>12</v>
      </c>
      <c r="N236" s="40"/>
      <c r="O236" s="40"/>
      <c r="P236" s="40"/>
      <c r="Q236" s="40"/>
      <c r="R236" s="40"/>
      <c r="S236" s="40"/>
      <c r="T236" s="40"/>
      <c r="U236" s="40">
        <v>13.2</v>
      </c>
      <c r="V236" s="40">
        <v>13.2</v>
      </c>
      <c r="W236" s="41">
        <v>0</v>
      </c>
      <c r="X236" s="41">
        <v>12</v>
      </c>
      <c r="Y236" s="41">
        <v>0</v>
      </c>
      <c r="Z236" s="41">
        <v>15</v>
      </c>
      <c r="AA236" s="42">
        <v>320</v>
      </c>
      <c r="AB236" s="40">
        <f t="shared" si="7"/>
        <v>251.6</v>
      </c>
      <c r="AC236" s="43"/>
      <c r="AD236" s="41"/>
      <c r="AE236" s="41"/>
      <c r="AF236" s="41"/>
      <c r="AG236" s="41"/>
      <c r="AH236" s="41"/>
      <c r="AI236" s="41"/>
      <c r="AJ236" s="41"/>
      <c r="AK236" s="44">
        <f t="shared" si="6"/>
        <v>251.6</v>
      </c>
      <c r="AL236" s="45"/>
      <c r="AM236" s="45"/>
      <c r="AN236" s="44"/>
      <c r="AO236" s="46"/>
    </row>
    <row r="237" spans="1:41" ht="21" customHeight="1" x14ac:dyDescent="0.2">
      <c r="A237" s="34">
        <v>233</v>
      </c>
      <c r="B237" s="35" t="s">
        <v>467</v>
      </c>
      <c r="C237" s="36">
        <v>14702760</v>
      </c>
      <c r="D237" s="37" t="s">
        <v>60</v>
      </c>
      <c r="E237" s="37" t="s">
        <v>54</v>
      </c>
      <c r="F237" s="38" t="s">
        <v>17</v>
      </c>
      <c r="G237" s="38" t="s">
        <v>8</v>
      </c>
      <c r="H237" s="69">
        <v>45107</v>
      </c>
      <c r="I237" s="38" t="s">
        <v>62</v>
      </c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1"/>
      <c r="X237" s="41">
        <v>0</v>
      </c>
      <c r="Y237" s="41">
        <v>0</v>
      </c>
      <c r="Z237" s="41">
        <v>8</v>
      </c>
      <c r="AA237" s="42">
        <v>80</v>
      </c>
      <c r="AB237" s="40">
        <f t="shared" si="7"/>
        <v>72</v>
      </c>
      <c r="AC237" s="43"/>
      <c r="AD237" s="41"/>
      <c r="AE237" s="41"/>
      <c r="AF237" s="41"/>
      <c r="AG237" s="41"/>
      <c r="AH237" s="41"/>
      <c r="AI237" s="41"/>
      <c r="AJ237" s="41"/>
      <c r="AK237" s="44">
        <f t="shared" si="6"/>
        <v>72</v>
      </c>
      <c r="AL237" s="45"/>
      <c r="AM237" s="45"/>
      <c r="AN237" s="44"/>
      <c r="AO237" s="46"/>
    </row>
    <row r="238" spans="1:41" ht="21" customHeight="1" x14ac:dyDescent="0.2">
      <c r="A238" s="34">
        <v>234</v>
      </c>
      <c r="B238" s="35" t="s">
        <v>468</v>
      </c>
      <c r="C238" s="36">
        <v>41911962</v>
      </c>
      <c r="D238" s="37" t="s">
        <v>60</v>
      </c>
      <c r="E238" s="37" t="s">
        <v>54</v>
      </c>
      <c r="F238" s="38" t="s">
        <v>21</v>
      </c>
      <c r="G238" s="38" t="s">
        <v>8</v>
      </c>
      <c r="H238" s="39">
        <v>39660</v>
      </c>
      <c r="I238" s="38" t="s">
        <v>10</v>
      </c>
      <c r="J238" s="40">
        <v>24.4</v>
      </c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>
        <v>0</v>
      </c>
      <c r="V238" s="40">
        <v>0</v>
      </c>
      <c r="W238" s="41">
        <v>0</v>
      </c>
      <c r="X238" s="41">
        <v>4</v>
      </c>
      <c r="Y238" s="41">
        <v>0</v>
      </c>
      <c r="Z238" s="41">
        <v>0</v>
      </c>
      <c r="AA238" s="42">
        <v>320</v>
      </c>
      <c r="AB238" s="40">
        <f t="shared" si="7"/>
        <v>291.60000000000002</v>
      </c>
      <c r="AC238" s="43"/>
      <c r="AD238" s="41"/>
      <c r="AE238" s="41"/>
      <c r="AF238" s="41"/>
      <c r="AG238" s="41"/>
      <c r="AH238" s="41"/>
      <c r="AI238" s="41"/>
      <c r="AJ238" s="41"/>
      <c r="AK238" s="44">
        <f t="shared" si="6"/>
        <v>291.60000000000002</v>
      </c>
      <c r="AL238" s="45"/>
      <c r="AM238" s="45"/>
      <c r="AN238" s="44"/>
      <c r="AO238" s="46"/>
    </row>
    <row r="239" spans="1:41" ht="21" customHeight="1" x14ac:dyDescent="0.2">
      <c r="A239" s="34">
        <v>235</v>
      </c>
      <c r="B239" s="35" t="s">
        <v>469</v>
      </c>
      <c r="C239" s="36">
        <v>29505841</v>
      </c>
      <c r="D239" s="37" t="s">
        <v>60</v>
      </c>
      <c r="E239" s="37" t="s">
        <v>54</v>
      </c>
      <c r="F239" s="38" t="s">
        <v>17</v>
      </c>
      <c r="G239" s="38" t="s">
        <v>8</v>
      </c>
      <c r="H239" s="39">
        <v>44963</v>
      </c>
      <c r="I239" s="38" t="s">
        <v>62</v>
      </c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1"/>
      <c r="X239" s="41">
        <v>0</v>
      </c>
      <c r="Y239" s="41">
        <v>0</v>
      </c>
      <c r="Z239" s="41">
        <v>8</v>
      </c>
      <c r="AA239" s="42">
        <v>80</v>
      </c>
      <c r="AB239" s="40">
        <f t="shared" si="7"/>
        <v>72</v>
      </c>
      <c r="AC239" s="43"/>
      <c r="AD239" s="41"/>
      <c r="AE239" s="41"/>
      <c r="AF239" s="41"/>
      <c r="AG239" s="41"/>
      <c r="AH239" s="41"/>
      <c r="AI239" s="41"/>
      <c r="AJ239" s="41"/>
      <c r="AK239" s="44">
        <f t="shared" si="6"/>
        <v>72</v>
      </c>
      <c r="AL239" s="45"/>
      <c r="AM239" s="45"/>
      <c r="AN239" s="44"/>
      <c r="AO239" s="46"/>
    </row>
    <row r="240" spans="1:41" ht="21" customHeight="1" x14ac:dyDescent="0.2">
      <c r="A240" s="34">
        <v>236</v>
      </c>
      <c r="B240" s="35" t="s">
        <v>470</v>
      </c>
      <c r="C240" s="36">
        <v>9726715</v>
      </c>
      <c r="D240" s="37" t="s">
        <v>60</v>
      </c>
      <c r="E240" s="37" t="s">
        <v>54</v>
      </c>
      <c r="F240" s="38" t="s">
        <v>17</v>
      </c>
      <c r="G240" s="38" t="s">
        <v>8</v>
      </c>
      <c r="H240" s="39">
        <v>44963</v>
      </c>
      <c r="I240" s="38" t="s">
        <v>62</v>
      </c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1"/>
      <c r="X240" s="41">
        <v>0</v>
      </c>
      <c r="Y240" s="41">
        <v>0</v>
      </c>
      <c r="Z240" s="41">
        <v>0</v>
      </c>
      <c r="AA240" s="42">
        <v>80</v>
      </c>
      <c r="AB240" s="40">
        <f t="shared" si="7"/>
        <v>80</v>
      </c>
      <c r="AC240" s="43"/>
      <c r="AD240" s="41"/>
      <c r="AE240" s="41"/>
      <c r="AF240" s="41"/>
      <c r="AG240" s="41"/>
      <c r="AH240" s="41"/>
      <c r="AI240" s="41"/>
      <c r="AJ240" s="41"/>
      <c r="AK240" s="44">
        <f t="shared" si="6"/>
        <v>80</v>
      </c>
      <c r="AL240" s="45"/>
      <c r="AM240" s="45"/>
      <c r="AN240" s="44"/>
      <c r="AO240" s="46"/>
    </row>
    <row r="241" spans="1:41" ht="25.5" x14ac:dyDescent="0.2">
      <c r="A241" s="34">
        <v>237</v>
      </c>
      <c r="B241" s="35" t="s">
        <v>471</v>
      </c>
      <c r="C241" s="36">
        <v>11380439</v>
      </c>
      <c r="D241" s="37" t="s">
        <v>60</v>
      </c>
      <c r="E241" s="37" t="s">
        <v>54</v>
      </c>
      <c r="F241" s="38" t="s">
        <v>17</v>
      </c>
      <c r="G241" s="38" t="s">
        <v>8</v>
      </c>
      <c r="H241" s="39">
        <v>42955</v>
      </c>
      <c r="I241" s="38" t="s">
        <v>10</v>
      </c>
      <c r="J241" s="40"/>
      <c r="K241" s="40"/>
      <c r="L241" s="40"/>
      <c r="M241" s="40"/>
      <c r="N241" s="40"/>
      <c r="O241" s="40"/>
      <c r="P241" s="40"/>
      <c r="Q241" s="135"/>
      <c r="R241" s="40">
        <v>87.4</v>
      </c>
      <c r="S241" s="40"/>
      <c r="T241" s="40">
        <v>12</v>
      </c>
      <c r="U241" s="40">
        <v>8</v>
      </c>
      <c r="V241" s="40">
        <v>13.2</v>
      </c>
      <c r="W241" s="41">
        <v>0</v>
      </c>
      <c r="X241" s="41">
        <v>12</v>
      </c>
      <c r="Y241" s="41">
        <v>13.5</v>
      </c>
      <c r="Z241" s="41">
        <v>0</v>
      </c>
      <c r="AA241" s="42">
        <v>320</v>
      </c>
      <c r="AB241" s="40">
        <f t="shared" si="7"/>
        <v>173.89999999999998</v>
      </c>
      <c r="AC241" s="43"/>
      <c r="AD241" s="41"/>
      <c r="AE241" s="41"/>
      <c r="AF241" s="41"/>
      <c r="AG241" s="41"/>
      <c r="AH241" s="41"/>
      <c r="AI241" s="41"/>
      <c r="AJ241" s="41"/>
      <c r="AK241" s="44">
        <f t="shared" si="6"/>
        <v>173.89999999999998</v>
      </c>
      <c r="AL241" s="45"/>
      <c r="AM241" s="45"/>
      <c r="AN241" s="44"/>
      <c r="AO241" s="46"/>
    </row>
    <row r="242" spans="1:41" ht="25.5" x14ac:dyDescent="0.2">
      <c r="A242" s="34">
        <v>238</v>
      </c>
      <c r="B242" s="35" t="s">
        <v>472</v>
      </c>
      <c r="C242" s="36">
        <v>18506672</v>
      </c>
      <c r="D242" s="37" t="s">
        <v>473</v>
      </c>
      <c r="E242" s="37" t="s">
        <v>59</v>
      </c>
      <c r="F242" s="37" t="s">
        <v>17</v>
      </c>
      <c r="G242" s="38" t="s">
        <v>8</v>
      </c>
      <c r="H242" s="39">
        <v>34373</v>
      </c>
      <c r="I242" s="38" t="s">
        <v>11</v>
      </c>
      <c r="J242" s="40">
        <v>47.6</v>
      </c>
      <c r="K242" s="40">
        <v>3</v>
      </c>
      <c r="L242" s="40">
        <v>20.9</v>
      </c>
      <c r="M242" s="40">
        <v>11.4</v>
      </c>
      <c r="N242" s="40">
        <v>3.9</v>
      </c>
      <c r="O242" s="40">
        <v>17</v>
      </c>
      <c r="P242" s="40">
        <v>6</v>
      </c>
      <c r="Q242" s="40">
        <v>73.900000000000006</v>
      </c>
      <c r="R242" s="40">
        <v>52</v>
      </c>
      <c r="S242" s="40">
        <v>27.5</v>
      </c>
      <c r="T242" s="40"/>
      <c r="U242" s="40">
        <v>25</v>
      </c>
      <c r="V242" s="40">
        <v>0</v>
      </c>
      <c r="W242" s="41">
        <v>0</v>
      </c>
      <c r="X242" s="41">
        <v>0</v>
      </c>
      <c r="Y242" s="41">
        <v>0</v>
      </c>
      <c r="Z242" s="41">
        <v>0</v>
      </c>
      <c r="AA242" s="42">
        <v>540</v>
      </c>
      <c r="AB242" s="40">
        <f t="shared" si="7"/>
        <v>251.79999999999995</v>
      </c>
      <c r="AC242" s="43"/>
      <c r="AD242" s="41"/>
      <c r="AE242" s="41"/>
      <c r="AF242" s="41"/>
      <c r="AG242" s="41"/>
      <c r="AH242" s="41"/>
      <c r="AI242" s="41"/>
      <c r="AJ242" s="41"/>
      <c r="AK242" s="44">
        <f t="shared" si="6"/>
        <v>251.79999999999995</v>
      </c>
      <c r="AL242" s="45"/>
      <c r="AM242" s="45"/>
      <c r="AN242" s="44"/>
      <c r="AO242" s="46"/>
    </row>
    <row r="243" spans="1:41" ht="25.5" x14ac:dyDescent="0.2">
      <c r="A243" s="34">
        <v>239</v>
      </c>
      <c r="B243" s="86" t="s">
        <v>474</v>
      </c>
      <c r="C243" s="87">
        <v>89001325</v>
      </c>
      <c r="D243" s="89" t="s">
        <v>473</v>
      </c>
      <c r="E243" s="37" t="s">
        <v>59</v>
      </c>
      <c r="F243" s="89" t="s">
        <v>17</v>
      </c>
      <c r="G243" s="88" t="s">
        <v>8</v>
      </c>
      <c r="H243" s="90">
        <v>42955</v>
      </c>
      <c r="I243" s="88" t="s">
        <v>11</v>
      </c>
      <c r="J243" s="91"/>
      <c r="K243" s="91"/>
      <c r="L243" s="91"/>
      <c r="M243" s="91"/>
      <c r="N243" s="91"/>
      <c r="O243" s="91"/>
      <c r="P243" s="91"/>
      <c r="Q243" s="91"/>
      <c r="R243" s="91">
        <v>56.3</v>
      </c>
      <c r="S243" s="91">
        <v>101.7</v>
      </c>
      <c r="T243" s="91"/>
      <c r="U243" s="91">
        <v>0</v>
      </c>
      <c r="V243" s="91">
        <v>18</v>
      </c>
      <c r="W243" s="41">
        <v>0</v>
      </c>
      <c r="X243" s="41">
        <v>0</v>
      </c>
      <c r="Y243" s="41">
        <v>0</v>
      </c>
      <c r="Z243" s="41">
        <v>21.5</v>
      </c>
      <c r="AA243" s="92">
        <v>540</v>
      </c>
      <c r="AB243" s="40">
        <f t="shared" si="7"/>
        <v>342.5</v>
      </c>
      <c r="AC243" s="43"/>
      <c r="AD243" s="93"/>
      <c r="AE243" s="93"/>
      <c r="AF243" s="93"/>
      <c r="AG243" s="93"/>
      <c r="AH243" s="93"/>
      <c r="AI243" s="93"/>
      <c r="AJ243" s="93"/>
      <c r="AK243" s="44">
        <f t="shared" si="6"/>
        <v>342.5</v>
      </c>
      <c r="AL243" s="65"/>
      <c r="AM243" s="65"/>
      <c r="AN243" s="78"/>
      <c r="AO243" s="73"/>
    </row>
    <row r="244" spans="1:41" ht="25.5" x14ac:dyDescent="0.2">
      <c r="A244" s="34">
        <v>240</v>
      </c>
      <c r="B244" s="35" t="s">
        <v>475</v>
      </c>
      <c r="C244" s="36">
        <v>14972100</v>
      </c>
      <c r="D244" s="37" t="s">
        <v>473</v>
      </c>
      <c r="E244" s="37" t="s">
        <v>59</v>
      </c>
      <c r="F244" s="37" t="s">
        <v>242</v>
      </c>
      <c r="G244" s="38" t="s">
        <v>8</v>
      </c>
      <c r="H244" s="39">
        <v>35327</v>
      </c>
      <c r="I244" s="38" t="s">
        <v>22</v>
      </c>
      <c r="J244" s="40">
        <v>12</v>
      </c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>
        <v>0</v>
      </c>
      <c r="V244" s="40">
        <v>0</v>
      </c>
      <c r="W244" s="41">
        <v>0</v>
      </c>
      <c r="X244" s="41">
        <v>0</v>
      </c>
      <c r="Y244" s="41">
        <v>0</v>
      </c>
      <c r="Z244" s="41">
        <v>0</v>
      </c>
      <c r="AA244" s="42">
        <v>160</v>
      </c>
      <c r="AB244" s="40">
        <f t="shared" si="7"/>
        <v>148</v>
      </c>
      <c r="AC244" s="43"/>
      <c r="AD244" s="41"/>
      <c r="AE244" s="41"/>
      <c r="AF244" s="41"/>
      <c r="AG244" s="41"/>
      <c r="AH244" s="41"/>
      <c r="AI244" s="41"/>
      <c r="AJ244" s="41"/>
      <c r="AK244" s="44">
        <f t="shared" si="6"/>
        <v>148</v>
      </c>
      <c r="AL244" s="45"/>
      <c r="AM244" s="45"/>
      <c r="AN244" s="44"/>
      <c r="AO244" s="46"/>
    </row>
    <row r="245" spans="1:41" ht="25.5" x14ac:dyDescent="0.2">
      <c r="A245" s="34">
        <v>241</v>
      </c>
      <c r="B245" s="35" t="s">
        <v>476</v>
      </c>
      <c r="C245" s="36">
        <v>16215234</v>
      </c>
      <c r="D245" s="37" t="s">
        <v>473</v>
      </c>
      <c r="E245" s="37" t="s">
        <v>59</v>
      </c>
      <c r="F245" s="37" t="s">
        <v>17</v>
      </c>
      <c r="G245" s="38" t="s">
        <v>8</v>
      </c>
      <c r="H245" s="39">
        <v>35828</v>
      </c>
      <c r="I245" s="38" t="s">
        <v>11</v>
      </c>
      <c r="J245" s="40">
        <v>110.6</v>
      </c>
      <c r="K245" s="40">
        <v>12.9</v>
      </c>
      <c r="L245" s="40">
        <v>9.9</v>
      </c>
      <c r="M245" s="40">
        <v>3</v>
      </c>
      <c r="N245" s="40"/>
      <c r="O245" s="40">
        <v>5.8</v>
      </c>
      <c r="P245" s="40">
        <v>16.8</v>
      </c>
      <c r="Q245" s="40">
        <v>11.8</v>
      </c>
      <c r="R245" s="40">
        <v>100.1</v>
      </c>
      <c r="S245" s="40">
        <v>39.4</v>
      </c>
      <c r="T245" s="40">
        <v>14</v>
      </c>
      <c r="U245" s="40">
        <v>0</v>
      </c>
      <c r="V245" s="40">
        <v>13.8</v>
      </c>
      <c r="W245" s="41">
        <v>0</v>
      </c>
      <c r="X245" s="41">
        <v>0</v>
      </c>
      <c r="Y245" s="41">
        <v>0</v>
      </c>
      <c r="Z245" s="41">
        <v>0</v>
      </c>
      <c r="AA245" s="42">
        <v>540</v>
      </c>
      <c r="AB245" s="40">
        <f t="shared" si="7"/>
        <v>201.89999999999998</v>
      </c>
      <c r="AC245" s="43"/>
      <c r="AD245" s="41"/>
      <c r="AE245" s="41"/>
      <c r="AF245" s="41"/>
      <c r="AG245" s="41"/>
      <c r="AH245" s="41"/>
      <c r="AI245" s="41"/>
      <c r="AJ245" s="41"/>
      <c r="AK245" s="44">
        <f t="shared" si="6"/>
        <v>201.89999999999998</v>
      </c>
      <c r="AL245" s="45"/>
      <c r="AM245" s="45"/>
      <c r="AN245" s="44"/>
      <c r="AO245" s="46"/>
    </row>
    <row r="246" spans="1:41" ht="25.5" x14ac:dyDescent="0.2">
      <c r="A246" s="34">
        <v>242</v>
      </c>
      <c r="B246" s="35" t="s">
        <v>477</v>
      </c>
      <c r="C246" s="36">
        <v>16209177</v>
      </c>
      <c r="D246" s="37" t="s">
        <v>473</v>
      </c>
      <c r="E246" s="37" t="s">
        <v>59</v>
      </c>
      <c r="F246" s="37" t="s">
        <v>17</v>
      </c>
      <c r="G246" s="38" t="s">
        <v>8</v>
      </c>
      <c r="H246" s="39">
        <v>31810</v>
      </c>
      <c r="I246" s="38" t="s">
        <v>11</v>
      </c>
      <c r="J246" s="40">
        <v>139.4</v>
      </c>
      <c r="K246" s="40">
        <v>28.5</v>
      </c>
      <c r="L246" s="40">
        <v>19.5</v>
      </c>
      <c r="M246" s="40">
        <v>11.4</v>
      </c>
      <c r="N246" s="40"/>
      <c r="O246" s="40">
        <v>13</v>
      </c>
      <c r="P246" s="40"/>
      <c r="Q246" s="40"/>
      <c r="R246" s="40"/>
      <c r="S246" s="40"/>
      <c r="T246" s="40">
        <v>28.2</v>
      </c>
      <c r="U246" s="40">
        <v>0</v>
      </c>
      <c r="V246" s="40">
        <v>0</v>
      </c>
      <c r="W246" s="41">
        <v>0</v>
      </c>
      <c r="X246" s="41">
        <v>0</v>
      </c>
      <c r="Y246" s="41">
        <v>0</v>
      </c>
      <c r="Z246" s="41">
        <v>0</v>
      </c>
      <c r="AA246" s="42">
        <v>540</v>
      </c>
      <c r="AB246" s="40">
        <f t="shared" si="7"/>
        <v>300</v>
      </c>
      <c r="AC246" s="43"/>
      <c r="AD246" s="41"/>
      <c r="AE246" s="41"/>
      <c r="AF246" s="41"/>
      <c r="AG246" s="41"/>
      <c r="AH246" s="41"/>
      <c r="AI246" s="41"/>
      <c r="AJ246" s="41"/>
      <c r="AK246" s="44">
        <f t="shared" si="6"/>
        <v>300</v>
      </c>
      <c r="AL246" s="45"/>
      <c r="AM246" s="45"/>
      <c r="AN246" s="44"/>
      <c r="AO246" s="46"/>
    </row>
    <row r="247" spans="1:41" ht="25.5" x14ac:dyDescent="0.2">
      <c r="A247" s="34">
        <v>243</v>
      </c>
      <c r="B247" s="35" t="s">
        <v>478</v>
      </c>
      <c r="C247" s="36">
        <v>93381654</v>
      </c>
      <c r="D247" s="37" t="s">
        <v>473</v>
      </c>
      <c r="E247" s="37" t="s">
        <v>59</v>
      </c>
      <c r="F247" s="37" t="s">
        <v>201</v>
      </c>
      <c r="G247" s="38" t="s">
        <v>8</v>
      </c>
      <c r="H247" s="39">
        <v>38040</v>
      </c>
      <c r="I247" s="38" t="s">
        <v>11</v>
      </c>
      <c r="J247" s="40">
        <v>78.5</v>
      </c>
      <c r="K247" s="40">
        <v>8</v>
      </c>
      <c r="L247" s="40">
        <v>3</v>
      </c>
      <c r="M247" s="40">
        <v>4</v>
      </c>
      <c r="N247" s="40">
        <v>57</v>
      </c>
      <c r="O247" s="40">
        <v>5</v>
      </c>
      <c r="P247" s="40"/>
      <c r="Q247" s="40">
        <v>13.8</v>
      </c>
      <c r="R247" s="40">
        <v>14</v>
      </c>
      <c r="S247" s="40">
        <v>39.5</v>
      </c>
      <c r="T247" s="40">
        <v>4</v>
      </c>
      <c r="U247" s="40">
        <v>71.5</v>
      </c>
      <c r="V247" s="40">
        <v>31</v>
      </c>
      <c r="W247" s="41">
        <v>19.5</v>
      </c>
      <c r="X247" s="41">
        <v>0</v>
      </c>
      <c r="Y247" s="41">
        <v>15</v>
      </c>
      <c r="Z247" s="41">
        <v>12</v>
      </c>
      <c r="AA247" s="42">
        <v>540</v>
      </c>
      <c r="AB247" s="40">
        <f t="shared" si="7"/>
        <v>164.2</v>
      </c>
      <c r="AC247" s="43"/>
      <c r="AD247" s="41"/>
      <c r="AE247" s="41"/>
      <c r="AF247" s="41"/>
      <c r="AG247" s="41"/>
      <c r="AH247" s="41"/>
      <c r="AI247" s="41"/>
      <c r="AJ247" s="41"/>
      <c r="AK247" s="44">
        <f t="shared" si="6"/>
        <v>164.2</v>
      </c>
      <c r="AL247" s="45"/>
      <c r="AM247" s="45"/>
      <c r="AN247" s="44"/>
      <c r="AO247" s="46"/>
    </row>
    <row r="248" spans="1:41" ht="25.5" x14ac:dyDescent="0.2">
      <c r="A248" s="34">
        <v>244</v>
      </c>
      <c r="B248" s="70" t="s">
        <v>479</v>
      </c>
      <c r="C248" s="71">
        <v>16221041</v>
      </c>
      <c r="D248" s="73" t="s">
        <v>480</v>
      </c>
      <c r="E248" s="73" t="s">
        <v>59</v>
      </c>
      <c r="F248" s="73" t="s">
        <v>201</v>
      </c>
      <c r="G248" s="72" t="s">
        <v>8</v>
      </c>
      <c r="H248" s="74">
        <v>34837</v>
      </c>
      <c r="I248" s="72" t="s">
        <v>22</v>
      </c>
      <c r="J248" s="91">
        <v>49.1</v>
      </c>
      <c r="K248" s="91">
        <v>3</v>
      </c>
      <c r="L248" s="91"/>
      <c r="M248" s="91">
        <v>1.5</v>
      </c>
      <c r="N248" s="91"/>
      <c r="O248" s="91"/>
      <c r="P248" s="91">
        <v>7.5</v>
      </c>
      <c r="Q248" s="91">
        <v>12</v>
      </c>
      <c r="R248" s="91">
        <v>37.799999999999997</v>
      </c>
      <c r="S248" s="91"/>
      <c r="T248" s="91">
        <v>31</v>
      </c>
      <c r="U248" s="91">
        <v>0</v>
      </c>
      <c r="V248" s="91">
        <v>0</v>
      </c>
      <c r="W248" s="41">
        <v>6.5</v>
      </c>
      <c r="X248" s="41">
        <v>0</v>
      </c>
      <c r="Y248" s="41">
        <v>6</v>
      </c>
      <c r="Z248" s="41">
        <v>0</v>
      </c>
      <c r="AA248" s="77">
        <v>160</v>
      </c>
      <c r="AB248" s="40">
        <f t="shared" si="7"/>
        <v>5.6000000000000227</v>
      </c>
      <c r="AC248" s="76"/>
      <c r="AD248" s="76"/>
      <c r="AE248" s="76"/>
      <c r="AF248" s="76"/>
      <c r="AG248" s="76"/>
      <c r="AH248" s="76"/>
      <c r="AI248" s="76"/>
      <c r="AJ248" s="76"/>
      <c r="AK248" s="44">
        <f t="shared" si="6"/>
        <v>5.6000000000000227</v>
      </c>
      <c r="AL248" s="65"/>
      <c r="AM248" s="65"/>
      <c r="AN248" s="78"/>
      <c r="AO248" s="79"/>
    </row>
    <row r="249" spans="1:41" ht="25.5" x14ac:dyDescent="0.2">
      <c r="A249" s="34">
        <v>245</v>
      </c>
      <c r="B249" s="35" t="s">
        <v>481</v>
      </c>
      <c r="C249" s="122">
        <v>89007291</v>
      </c>
      <c r="D249" s="37" t="s">
        <v>473</v>
      </c>
      <c r="E249" s="37" t="s">
        <v>59</v>
      </c>
      <c r="F249" s="37" t="s">
        <v>21</v>
      </c>
      <c r="G249" s="38" t="s">
        <v>8</v>
      </c>
      <c r="H249" s="39">
        <v>39142</v>
      </c>
      <c r="I249" s="38" t="s">
        <v>10</v>
      </c>
      <c r="J249" s="40">
        <v>65.5</v>
      </c>
      <c r="K249" s="40">
        <v>7.5</v>
      </c>
      <c r="L249" s="40">
        <v>3</v>
      </c>
      <c r="M249" s="40">
        <v>4</v>
      </c>
      <c r="N249" s="40">
        <v>3</v>
      </c>
      <c r="O249" s="40">
        <v>8</v>
      </c>
      <c r="P249" s="40"/>
      <c r="Q249" s="40">
        <v>3</v>
      </c>
      <c r="R249" s="40">
        <v>3</v>
      </c>
      <c r="S249" s="40">
        <v>8</v>
      </c>
      <c r="T249" s="40">
        <v>7.5</v>
      </c>
      <c r="U249" s="40">
        <v>6</v>
      </c>
      <c r="V249" s="40">
        <v>7.5</v>
      </c>
      <c r="W249" s="41">
        <v>6.5</v>
      </c>
      <c r="X249" s="41">
        <v>0</v>
      </c>
      <c r="Y249" s="41">
        <v>6</v>
      </c>
      <c r="Z249" s="41">
        <v>0</v>
      </c>
      <c r="AA249" s="42">
        <v>320</v>
      </c>
      <c r="AB249" s="40">
        <f t="shared" si="7"/>
        <v>181.5</v>
      </c>
      <c r="AC249" s="43">
        <f>Pub_Rev_Index!X15</f>
        <v>8</v>
      </c>
      <c r="AD249" s="41"/>
      <c r="AE249" s="80"/>
      <c r="AF249" s="80"/>
      <c r="AG249" s="41"/>
      <c r="AH249" s="41"/>
      <c r="AI249" s="41"/>
      <c r="AJ249" s="41"/>
      <c r="AK249" s="44">
        <f t="shared" si="6"/>
        <v>173.5</v>
      </c>
      <c r="AL249" s="81"/>
      <c r="AM249" s="81"/>
      <c r="AN249" s="82"/>
      <c r="AO249" s="113"/>
    </row>
    <row r="250" spans="1:41" ht="25.5" x14ac:dyDescent="0.2">
      <c r="A250" s="34">
        <v>246</v>
      </c>
      <c r="B250" s="70" t="s">
        <v>482</v>
      </c>
      <c r="C250" s="71">
        <v>18497574</v>
      </c>
      <c r="D250" s="73" t="s">
        <v>480</v>
      </c>
      <c r="E250" s="73" t="s">
        <v>59</v>
      </c>
      <c r="F250" s="73" t="s">
        <v>21</v>
      </c>
      <c r="G250" s="72" t="s">
        <v>8</v>
      </c>
      <c r="H250" s="74">
        <v>38776</v>
      </c>
      <c r="I250" s="72" t="s">
        <v>11</v>
      </c>
      <c r="J250" s="75">
        <v>213.3</v>
      </c>
      <c r="K250" s="75">
        <v>11.6</v>
      </c>
      <c r="L250" s="75">
        <v>20.9</v>
      </c>
      <c r="M250" s="75">
        <v>14.4</v>
      </c>
      <c r="N250" s="75">
        <v>3.9</v>
      </c>
      <c r="O250" s="75">
        <v>42.4</v>
      </c>
      <c r="P250" s="75">
        <v>9</v>
      </c>
      <c r="Q250" s="75">
        <v>62.1</v>
      </c>
      <c r="R250" s="75">
        <v>51.6</v>
      </c>
      <c r="S250" s="75">
        <v>54.6</v>
      </c>
      <c r="T250" s="75">
        <v>26</v>
      </c>
      <c r="U250" s="75">
        <v>30.2</v>
      </c>
      <c r="V250" s="75">
        <v>0</v>
      </c>
      <c r="W250" s="41">
        <v>0</v>
      </c>
      <c r="X250" s="41">
        <v>0</v>
      </c>
      <c r="Y250" s="41">
        <v>0</v>
      </c>
      <c r="Z250" s="41">
        <v>0</v>
      </c>
      <c r="AA250" s="77">
        <v>540</v>
      </c>
      <c r="AB250" s="40">
        <f t="shared" si="7"/>
        <v>0</v>
      </c>
      <c r="AC250" s="76"/>
      <c r="AD250" s="76"/>
      <c r="AE250" s="76"/>
      <c r="AF250" s="76"/>
      <c r="AG250" s="76"/>
      <c r="AH250" s="76"/>
      <c r="AI250" s="76"/>
      <c r="AJ250" s="76"/>
      <c r="AK250" s="78">
        <f t="shared" si="6"/>
        <v>0</v>
      </c>
      <c r="AL250" s="81"/>
      <c r="AM250" s="81"/>
      <c r="AN250" s="82"/>
      <c r="AO250" s="113"/>
    </row>
    <row r="251" spans="1:41" ht="25.5" x14ac:dyDescent="0.2">
      <c r="A251" s="34">
        <v>247</v>
      </c>
      <c r="B251" s="86" t="s">
        <v>483</v>
      </c>
      <c r="C251" s="87">
        <v>89001416</v>
      </c>
      <c r="D251" s="89" t="s">
        <v>473</v>
      </c>
      <c r="E251" s="37" t="s">
        <v>59</v>
      </c>
      <c r="F251" s="89" t="s">
        <v>201</v>
      </c>
      <c r="G251" s="88" t="s">
        <v>8</v>
      </c>
      <c r="H251" s="90">
        <v>39664</v>
      </c>
      <c r="I251" s="88" t="s">
        <v>11</v>
      </c>
      <c r="J251" s="91">
        <v>73</v>
      </c>
      <c r="K251" s="91">
        <v>14</v>
      </c>
      <c r="L251" s="91">
        <v>10.3</v>
      </c>
      <c r="M251" s="91">
        <v>9.5</v>
      </c>
      <c r="N251" s="91">
        <v>26.5</v>
      </c>
      <c r="O251" s="91">
        <v>10.5</v>
      </c>
      <c r="P251" s="91">
        <v>23.4</v>
      </c>
      <c r="Q251" s="91">
        <v>46</v>
      </c>
      <c r="R251" s="91">
        <v>11.3</v>
      </c>
      <c r="S251" s="91">
        <v>6.6</v>
      </c>
      <c r="T251" s="91">
        <v>0.9</v>
      </c>
      <c r="U251" s="91">
        <v>20.9</v>
      </c>
      <c r="V251" s="91">
        <v>35</v>
      </c>
      <c r="W251" s="93">
        <v>3.4</v>
      </c>
      <c r="X251" s="93">
        <v>16.5</v>
      </c>
      <c r="Y251" s="93">
        <v>37.200000000000003</v>
      </c>
      <c r="Z251" s="93">
        <v>0</v>
      </c>
      <c r="AA251" s="92">
        <v>540</v>
      </c>
      <c r="AB251" s="40">
        <f t="shared" si="7"/>
        <v>195</v>
      </c>
      <c r="AC251" s="93"/>
      <c r="AD251" s="93"/>
      <c r="AE251" s="93"/>
      <c r="AF251" s="93"/>
      <c r="AG251" s="93"/>
      <c r="AH251" s="93"/>
      <c r="AI251" s="93"/>
      <c r="AJ251" s="93"/>
      <c r="AK251" s="44">
        <f t="shared" si="6"/>
        <v>195</v>
      </c>
      <c r="AL251" s="45"/>
      <c r="AM251" s="45"/>
      <c r="AN251" s="82"/>
      <c r="AO251" s="46"/>
    </row>
    <row r="252" spans="1:41" ht="21" customHeight="1" x14ac:dyDescent="0.2">
      <c r="A252" s="34">
        <v>248</v>
      </c>
      <c r="B252" s="35" t="s">
        <v>484</v>
      </c>
      <c r="C252" s="36">
        <v>9805077</v>
      </c>
      <c r="D252" s="37" t="s">
        <v>485</v>
      </c>
      <c r="E252" s="37" t="s">
        <v>29</v>
      </c>
      <c r="F252" s="38" t="s">
        <v>242</v>
      </c>
      <c r="G252" s="38" t="s">
        <v>8</v>
      </c>
      <c r="H252" s="39">
        <v>35828</v>
      </c>
      <c r="I252" s="38" t="s">
        <v>22</v>
      </c>
      <c r="J252" s="40">
        <v>51.7</v>
      </c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>
        <v>0</v>
      </c>
      <c r="V252" s="40">
        <v>0</v>
      </c>
      <c r="W252" s="41">
        <v>0</v>
      </c>
      <c r="X252" s="41">
        <v>0</v>
      </c>
      <c r="Y252" s="41">
        <v>0</v>
      </c>
      <c r="Z252" s="41">
        <v>0</v>
      </c>
      <c r="AA252" s="42">
        <v>160</v>
      </c>
      <c r="AB252" s="40">
        <f t="shared" si="7"/>
        <v>108.3</v>
      </c>
      <c r="AC252" s="43"/>
      <c r="AD252" s="41"/>
      <c r="AE252" s="41"/>
      <c r="AF252" s="41"/>
      <c r="AG252" s="41"/>
      <c r="AH252" s="41"/>
      <c r="AI252" s="41"/>
      <c r="AJ252" s="41"/>
      <c r="AK252" s="44">
        <f t="shared" si="6"/>
        <v>108.3</v>
      </c>
      <c r="AL252" s="45"/>
      <c r="AM252" s="45"/>
      <c r="AN252" s="44"/>
      <c r="AO252" s="46"/>
    </row>
    <row r="253" spans="1:41" ht="21" customHeight="1" x14ac:dyDescent="0.2">
      <c r="A253" s="34">
        <v>249</v>
      </c>
      <c r="B253" s="35" t="s">
        <v>486</v>
      </c>
      <c r="C253" s="36">
        <v>41957767</v>
      </c>
      <c r="D253" s="37" t="s">
        <v>485</v>
      </c>
      <c r="E253" s="37" t="s">
        <v>29</v>
      </c>
      <c r="F253" s="38" t="s">
        <v>17</v>
      </c>
      <c r="G253" s="38" t="s">
        <v>8</v>
      </c>
      <c r="H253" s="39">
        <v>44963</v>
      </c>
      <c r="I253" s="38" t="s">
        <v>62</v>
      </c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1"/>
      <c r="X253" s="41">
        <v>0</v>
      </c>
      <c r="Y253" s="41">
        <v>0</v>
      </c>
      <c r="Z253" s="41">
        <v>0</v>
      </c>
      <c r="AA253" s="42">
        <v>80</v>
      </c>
      <c r="AB253" s="40">
        <f t="shared" si="7"/>
        <v>80</v>
      </c>
      <c r="AC253" s="43"/>
      <c r="AD253" s="41"/>
      <c r="AE253" s="41"/>
      <c r="AF253" s="41"/>
      <c r="AG253" s="41"/>
      <c r="AH253" s="41"/>
      <c r="AI253" s="41"/>
      <c r="AJ253" s="41"/>
      <c r="AK253" s="44">
        <f t="shared" si="6"/>
        <v>80</v>
      </c>
      <c r="AL253" s="45"/>
      <c r="AM253" s="45"/>
      <c r="AN253" s="44"/>
      <c r="AO253" s="46"/>
    </row>
    <row r="254" spans="1:41" ht="25.5" x14ac:dyDescent="0.2">
      <c r="A254" s="34">
        <v>250</v>
      </c>
      <c r="B254" s="35" t="s">
        <v>487</v>
      </c>
      <c r="C254" s="36">
        <v>24344593</v>
      </c>
      <c r="D254" s="38" t="s">
        <v>57</v>
      </c>
      <c r="E254" s="37" t="s">
        <v>194</v>
      </c>
      <c r="F254" s="38" t="s">
        <v>21</v>
      </c>
      <c r="G254" s="38" t="s">
        <v>8</v>
      </c>
      <c r="H254" s="39">
        <v>44963</v>
      </c>
      <c r="I254" s="38" t="s">
        <v>22</v>
      </c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1"/>
      <c r="X254" s="41">
        <v>98.4</v>
      </c>
      <c r="Y254" s="41">
        <v>0</v>
      </c>
      <c r="Z254" s="41">
        <v>12</v>
      </c>
      <c r="AA254" s="42">
        <v>160</v>
      </c>
      <c r="AB254" s="40">
        <f t="shared" si="7"/>
        <v>49.599999999999994</v>
      </c>
      <c r="AC254" s="43"/>
      <c r="AD254" s="41"/>
      <c r="AE254" s="41"/>
      <c r="AF254" s="41"/>
      <c r="AG254" s="41"/>
      <c r="AH254" s="41"/>
      <c r="AI254" s="41"/>
      <c r="AJ254" s="41"/>
      <c r="AK254" s="44">
        <f t="shared" si="6"/>
        <v>49.599999999999994</v>
      </c>
      <c r="AL254" s="65"/>
      <c r="AM254" s="45"/>
      <c r="AN254" s="44"/>
      <c r="AO254" s="46"/>
    </row>
    <row r="255" spans="1:41" ht="25.5" customHeight="1" x14ac:dyDescent="0.2">
      <c r="A255" s="34">
        <v>251</v>
      </c>
      <c r="B255" s="54" t="s">
        <v>488</v>
      </c>
      <c r="C255" s="55">
        <v>16369647</v>
      </c>
      <c r="D255" s="57" t="s">
        <v>57</v>
      </c>
      <c r="E255" s="56" t="s">
        <v>194</v>
      </c>
      <c r="F255" s="57" t="s">
        <v>201</v>
      </c>
      <c r="G255" s="57" t="s">
        <v>8</v>
      </c>
      <c r="H255" s="58">
        <v>41436</v>
      </c>
      <c r="I255" s="57" t="s">
        <v>11</v>
      </c>
      <c r="J255" s="59"/>
      <c r="K255" s="59"/>
      <c r="L255" s="59"/>
      <c r="M255" s="59"/>
      <c r="N255" s="59">
        <v>18.100000000000001</v>
      </c>
      <c r="O255" s="59">
        <v>16.2</v>
      </c>
      <c r="P255" s="59">
        <v>3</v>
      </c>
      <c r="Q255" s="59"/>
      <c r="R255" s="59"/>
      <c r="S255" s="59">
        <v>10.1</v>
      </c>
      <c r="T255" s="59"/>
      <c r="U255" s="59">
        <v>0</v>
      </c>
      <c r="V255" s="59">
        <v>13.8</v>
      </c>
      <c r="W255" s="60">
        <v>0</v>
      </c>
      <c r="X255" s="60">
        <v>0</v>
      </c>
      <c r="Y255" s="60">
        <v>0</v>
      </c>
      <c r="Z255" s="60">
        <v>12.8</v>
      </c>
      <c r="AA255" s="61">
        <v>540</v>
      </c>
      <c r="AB255" s="59">
        <f t="shared" si="7"/>
        <v>466</v>
      </c>
      <c r="AC255" s="62"/>
      <c r="AD255" s="60"/>
      <c r="AE255" s="60"/>
      <c r="AF255" s="60"/>
      <c r="AG255" s="60"/>
      <c r="AH255" s="60"/>
      <c r="AI255" s="60"/>
      <c r="AJ255" s="60"/>
      <c r="AK255" s="63">
        <f t="shared" si="6"/>
        <v>466</v>
      </c>
      <c r="AL255" s="64"/>
      <c r="AM255" s="64"/>
      <c r="AN255" s="67" t="s">
        <v>489</v>
      </c>
      <c r="AO255" s="68" t="s">
        <v>490</v>
      </c>
    </row>
    <row r="256" spans="1:41" ht="21" customHeight="1" x14ac:dyDescent="0.2">
      <c r="A256" s="34">
        <v>252</v>
      </c>
      <c r="B256" s="35" t="s">
        <v>491</v>
      </c>
      <c r="C256" s="36">
        <v>42144287</v>
      </c>
      <c r="D256" s="38" t="s">
        <v>57</v>
      </c>
      <c r="E256" s="37" t="s">
        <v>194</v>
      </c>
      <c r="F256" s="38" t="s">
        <v>21</v>
      </c>
      <c r="G256" s="38" t="s">
        <v>8</v>
      </c>
      <c r="H256" s="39">
        <v>41890</v>
      </c>
      <c r="I256" s="38" t="s">
        <v>350</v>
      </c>
      <c r="J256" s="40"/>
      <c r="K256" s="40"/>
      <c r="L256" s="40"/>
      <c r="M256" s="40"/>
      <c r="N256" s="40"/>
      <c r="O256" s="40">
        <v>3</v>
      </c>
      <c r="P256" s="40"/>
      <c r="Q256" s="40">
        <v>8</v>
      </c>
      <c r="R256" s="40"/>
      <c r="S256" s="40"/>
      <c r="T256" s="40"/>
      <c r="U256" s="40">
        <v>0</v>
      </c>
      <c r="V256" s="40">
        <v>0</v>
      </c>
      <c r="W256" s="41">
        <v>0</v>
      </c>
      <c r="X256" s="41">
        <v>3</v>
      </c>
      <c r="Y256" s="41">
        <v>3</v>
      </c>
      <c r="Z256" s="41">
        <v>0</v>
      </c>
      <c r="AA256" s="42">
        <v>320</v>
      </c>
      <c r="AB256" s="40">
        <f t="shared" si="7"/>
        <v>303</v>
      </c>
      <c r="AC256" s="43">
        <f>Pub_Rev_Index!X21</f>
        <v>8</v>
      </c>
      <c r="AD256" s="41"/>
      <c r="AE256" s="41"/>
      <c r="AF256" s="41"/>
      <c r="AG256" s="41"/>
      <c r="AH256" s="41"/>
      <c r="AI256" s="41"/>
      <c r="AJ256" s="41"/>
      <c r="AK256" s="44">
        <f t="shared" si="6"/>
        <v>295</v>
      </c>
      <c r="AL256" s="45"/>
      <c r="AM256" s="45"/>
      <c r="AN256" s="44"/>
      <c r="AO256" s="46"/>
    </row>
    <row r="257" spans="1:41" ht="25.5" x14ac:dyDescent="0.2">
      <c r="A257" s="34">
        <v>253</v>
      </c>
      <c r="B257" s="54" t="s">
        <v>492</v>
      </c>
      <c r="C257" s="55">
        <v>41934400</v>
      </c>
      <c r="D257" s="57" t="s">
        <v>57</v>
      </c>
      <c r="E257" s="56" t="s">
        <v>194</v>
      </c>
      <c r="F257" s="57" t="s">
        <v>201</v>
      </c>
      <c r="G257" s="57" t="s">
        <v>8</v>
      </c>
      <c r="H257" s="58">
        <v>40947</v>
      </c>
      <c r="I257" s="57" t="s">
        <v>10</v>
      </c>
      <c r="J257" s="59"/>
      <c r="K257" s="59"/>
      <c r="L257" s="59"/>
      <c r="M257" s="59">
        <v>3</v>
      </c>
      <c r="N257" s="59"/>
      <c r="O257" s="59"/>
      <c r="P257" s="59"/>
      <c r="Q257" s="59"/>
      <c r="R257" s="59"/>
      <c r="S257" s="59">
        <v>12</v>
      </c>
      <c r="T257" s="59">
        <v>15</v>
      </c>
      <c r="U257" s="59">
        <v>0</v>
      </c>
      <c r="V257" s="59">
        <v>0</v>
      </c>
      <c r="W257" s="60">
        <v>2.1</v>
      </c>
      <c r="X257" s="60">
        <v>0</v>
      </c>
      <c r="Y257" s="60">
        <v>3</v>
      </c>
      <c r="Z257" s="60">
        <v>0</v>
      </c>
      <c r="AA257" s="61">
        <v>320</v>
      </c>
      <c r="AB257" s="59">
        <f t="shared" si="7"/>
        <v>284.89999999999998</v>
      </c>
      <c r="AC257" s="62"/>
      <c r="AD257" s="60"/>
      <c r="AE257" s="60"/>
      <c r="AF257" s="60"/>
      <c r="AG257" s="60"/>
      <c r="AH257" s="60"/>
      <c r="AI257" s="60"/>
      <c r="AJ257" s="60"/>
      <c r="AK257" s="63">
        <f t="shared" si="6"/>
        <v>284.89999999999998</v>
      </c>
      <c r="AL257" s="64"/>
      <c r="AM257" s="64"/>
      <c r="AN257" s="67" t="s">
        <v>493</v>
      </c>
      <c r="AO257" s="68" t="s">
        <v>494</v>
      </c>
    </row>
    <row r="258" spans="1:41" ht="21" customHeight="1" x14ac:dyDescent="0.2">
      <c r="A258" s="34">
        <v>254</v>
      </c>
      <c r="B258" s="35" t="s">
        <v>495</v>
      </c>
      <c r="C258" s="36">
        <v>41923129</v>
      </c>
      <c r="D258" s="38" t="s">
        <v>57</v>
      </c>
      <c r="E258" s="37" t="s">
        <v>194</v>
      </c>
      <c r="F258" s="38" t="s">
        <v>201</v>
      </c>
      <c r="G258" s="38" t="s">
        <v>8</v>
      </c>
      <c r="H258" s="38" t="s">
        <v>342</v>
      </c>
      <c r="I258" s="38" t="s">
        <v>22</v>
      </c>
      <c r="J258" s="40"/>
      <c r="K258" s="40"/>
      <c r="L258" s="40">
        <v>3.1</v>
      </c>
      <c r="M258" s="40"/>
      <c r="N258" s="40">
        <v>3</v>
      </c>
      <c r="O258" s="40"/>
      <c r="P258" s="40"/>
      <c r="Q258" s="40"/>
      <c r="R258" s="40"/>
      <c r="S258" s="40">
        <v>14.6</v>
      </c>
      <c r="T258" s="40"/>
      <c r="U258" s="40">
        <v>0</v>
      </c>
      <c r="V258" s="40">
        <v>0</v>
      </c>
      <c r="W258" s="41">
        <v>0</v>
      </c>
      <c r="X258" s="41">
        <v>0</v>
      </c>
      <c r="Y258" s="41">
        <v>0</v>
      </c>
      <c r="Z258" s="41">
        <v>0</v>
      </c>
      <c r="AA258" s="42">
        <v>160</v>
      </c>
      <c r="AB258" s="40">
        <f t="shared" si="7"/>
        <v>139.30000000000001</v>
      </c>
      <c r="AC258" s="43"/>
      <c r="AD258" s="41"/>
      <c r="AE258" s="80"/>
      <c r="AF258" s="80"/>
      <c r="AG258" s="41"/>
      <c r="AH258" s="41"/>
      <c r="AI258" s="41"/>
      <c r="AJ258" s="41"/>
      <c r="AK258" s="44">
        <f t="shared" si="6"/>
        <v>139.30000000000001</v>
      </c>
      <c r="AL258" s="81"/>
      <c r="AM258" s="81"/>
      <c r="AN258" s="82"/>
      <c r="AO258" s="113"/>
    </row>
    <row r="259" spans="1:41" ht="21" customHeight="1" x14ac:dyDescent="0.2">
      <c r="A259" s="34">
        <v>255</v>
      </c>
      <c r="B259" s="35" t="s">
        <v>496</v>
      </c>
      <c r="C259" s="36">
        <v>7562748</v>
      </c>
      <c r="D259" s="38" t="s">
        <v>57</v>
      </c>
      <c r="E259" s="37" t="s">
        <v>194</v>
      </c>
      <c r="F259" s="38" t="s">
        <v>201</v>
      </c>
      <c r="G259" s="38" t="s">
        <v>8</v>
      </c>
      <c r="H259" s="39">
        <v>40203</v>
      </c>
      <c r="I259" s="38" t="s">
        <v>298</v>
      </c>
      <c r="J259" s="40"/>
      <c r="K259" s="40">
        <v>0.7</v>
      </c>
      <c r="L259" s="40"/>
      <c r="M259" s="40"/>
      <c r="N259" s="40"/>
      <c r="O259" s="40"/>
      <c r="P259" s="40"/>
      <c r="Q259" s="40"/>
      <c r="R259" s="40"/>
      <c r="S259" s="40">
        <v>14.6</v>
      </c>
      <c r="T259" s="40"/>
      <c r="U259" s="40">
        <v>0</v>
      </c>
      <c r="V259" s="40">
        <v>0</v>
      </c>
      <c r="W259" s="41">
        <v>0</v>
      </c>
      <c r="X259" s="41">
        <v>0</v>
      </c>
      <c r="Y259" s="41">
        <v>0</v>
      </c>
      <c r="Z259" s="41">
        <v>0</v>
      </c>
      <c r="AA259" s="42">
        <v>160</v>
      </c>
      <c r="AB259" s="40">
        <f t="shared" si="7"/>
        <v>144.69999999999999</v>
      </c>
      <c r="AC259" s="43"/>
      <c r="AD259" s="41"/>
      <c r="AE259" s="41"/>
      <c r="AF259" s="41"/>
      <c r="AG259" s="41"/>
      <c r="AH259" s="41"/>
      <c r="AI259" s="41"/>
      <c r="AJ259" s="41"/>
      <c r="AK259" s="44">
        <f t="shared" si="6"/>
        <v>144.69999999999999</v>
      </c>
      <c r="AL259" s="45"/>
      <c r="AM259" s="45"/>
      <c r="AN259" s="44"/>
      <c r="AO259" s="46"/>
    </row>
    <row r="260" spans="1:41" ht="21" customHeight="1" x14ac:dyDescent="0.2">
      <c r="A260" s="34">
        <v>256</v>
      </c>
      <c r="B260" s="35" t="s">
        <v>497</v>
      </c>
      <c r="C260" s="36">
        <v>79567036</v>
      </c>
      <c r="D260" s="38" t="s">
        <v>57</v>
      </c>
      <c r="E260" s="37" t="s">
        <v>194</v>
      </c>
      <c r="F260" s="38" t="s">
        <v>17</v>
      </c>
      <c r="G260" s="38" t="s">
        <v>8</v>
      </c>
      <c r="H260" s="39">
        <v>43864</v>
      </c>
      <c r="I260" s="38" t="s">
        <v>10</v>
      </c>
      <c r="J260" s="38"/>
      <c r="K260" s="38"/>
      <c r="L260" s="49"/>
      <c r="M260" s="49"/>
      <c r="N260" s="49"/>
      <c r="O260" s="49"/>
      <c r="P260" s="49"/>
      <c r="Q260" s="49"/>
      <c r="R260" s="49"/>
      <c r="S260" s="49"/>
      <c r="T260" s="49"/>
      <c r="U260" s="38">
        <v>31.7</v>
      </c>
      <c r="V260" s="38">
        <v>13.8</v>
      </c>
      <c r="W260" s="41">
        <v>0</v>
      </c>
      <c r="X260" s="41">
        <v>0</v>
      </c>
      <c r="Y260" s="41">
        <v>0</v>
      </c>
      <c r="Z260" s="41">
        <v>21.4</v>
      </c>
      <c r="AA260" s="42">
        <v>320</v>
      </c>
      <c r="AB260" s="40">
        <f t="shared" si="7"/>
        <v>253.1</v>
      </c>
      <c r="AC260" s="43"/>
      <c r="AD260" s="136"/>
      <c r="AE260" s="136"/>
      <c r="AF260" s="137"/>
      <c r="AG260" s="137"/>
      <c r="AH260" s="136"/>
      <c r="AI260" s="136"/>
      <c r="AJ260" s="136"/>
      <c r="AK260" s="44">
        <f t="shared" si="6"/>
        <v>253.1</v>
      </c>
      <c r="AL260" s="138"/>
      <c r="AM260" s="139"/>
      <c r="AN260" s="140"/>
      <c r="AO260" s="46"/>
    </row>
    <row r="261" spans="1:41" ht="21" customHeight="1" x14ac:dyDescent="0.2">
      <c r="A261" s="34">
        <v>257</v>
      </c>
      <c r="B261" s="35" t="s">
        <v>498</v>
      </c>
      <c r="C261" s="36">
        <v>24580571</v>
      </c>
      <c r="D261" s="38" t="s">
        <v>57</v>
      </c>
      <c r="E261" s="37" t="s">
        <v>194</v>
      </c>
      <c r="F261" s="38" t="s">
        <v>201</v>
      </c>
      <c r="G261" s="38" t="s">
        <v>8</v>
      </c>
      <c r="H261" s="39">
        <v>39142</v>
      </c>
      <c r="I261" s="38" t="s">
        <v>11</v>
      </c>
      <c r="J261" s="40">
        <v>12.8</v>
      </c>
      <c r="K261" s="40"/>
      <c r="L261" s="40">
        <v>3.1</v>
      </c>
      <c r="M261" s="40"/>
      <c r="N261" s="40"/>
      <c r="O261" s="40"/>
      <c r="P261" s="40"/>
      <c r="Q261" s="40">
        <v>12</v>
      </c>
      <c r="R261" s="40"/>
      <c r="S261" s="40"/>
      <c r="T261" s="40"/>
      <c r="U261" s="40">
        <v>17.5</v>
      </c>
      <c r="V261" s="40">
        <v>0</v>
      </c>
      <c r="W261" s="41">
        <v>8</v>
      </c>
      <c r="X261" s="41">
        <v>3</v>
      </c>
      <c r="Y261" s="41">
        <v>20.2</v>
      </c>
      <c r="Z261" s="41">
        <v>9.4</v>
      </c>
      <c r="AA261" s="42">
        <v>540</v>
      </c>
      <c r="AB261" s="40">
        <f t="shared" si="7"/>
        <v>454</v>
      </c>
      <c r="AC261" s="43"/>
      <c r="AD261" s="41"/>
      <c r="AE261" s="41"/>
      <c r="AF261" s="41"/>
      <c r="AG261" s="41"/>
      <c r="AH261" s="41"/>
      <c r="AI261" s="41"/>
      <c r="AJ261" s="41"/>
      <c r="AK261" s="44">
        <f t="shared" ref="AK261:AK266" si="8">AB261-AC261-AD261-AE261-AF261-AG261-AH261-AI261-AJ261</f>
        <v>454</v>
      </c>
      <c r="AL261" s="45"/>
      <c r="AM261" s="45"/>
      <c r="AN261" s="44"/>
      <c r="AO261" s="46"/>
    </row>
    <row r="262" spans="1:41" ht="21" customHeight="1" x14ac:dyDescent="0.2">
      <c r="A262" s="34">
        <v>258</v>
      </c>
      <c r="B262" s="107" t="s">
        <v>499</v>
      </c>
      <c r="C262" s="36">
        <v>24347314</v>
      </c>
      <c r="D262" s="38" t="s">
        <v>57</v>
      </c>
      <c r="E262" s="37" t="s">
        <v>194</v>
      </c>
      <c r="F262" s="38" t="s">
        <v>21</v>
      </c>
      <c r="G262" s="38" t="s">
        <v>8</v>
      </c>
      <c r="H262" s="39">
        <v>40947</v>
      </c>
      <c r="I262" s="38" t="s">
        <v>22</v>
      </c>
      <c r="J262" s="40">
        <v>12</v>
      </c>
      <c r="K262" s="40"/>
      <c r="L262" s="40"/>
      <c r="M262" s="40"/>
      <c r="N262" s="40"/>
      <c r="O262" s="40"/>
      <c r="P262" s="40"/>
      <c r="Q262" s="40"/>
      <c r="R262" s="40"/>
      <c r="S262" s="40"/>
      <c r="T262" s="40">
        <v>23</v>
      </c>
      <c r="U262" s="40">
        <v>0</v>
      </c>
      <c r="V262" s="40">
        <v>12</v>
      </c>
      <c r="W262" s="41">
        <v>2.1</v>
      </c>
      <c r="X262" s="41">
        <v>8</v>
      </c>
      <c r="Y262" s="41">
        <v>0</v>
      </c>
      <c r="Z262" s="41">
        <v>0</v>
      </c>
      <c r="AA262" s="42">
        <v>160</v>
      </c>
      <c r="AB262" s="40">
        <f>AA262-(J262+K262+L262+M262+N262+O262+P262+Q262+R262+S262+T262+U262+V262+W262+X262+Y262+Z262)</f>
        <v>102.9</v>
      </c>
      <c r="AC262" s="43"/>
      <c r="AD262" s="41"/>
      <c r="AE262" s="41"/>
      <c r="AF262" s="41"/>
      <c r="AG262" s="41"/>
      <c r="AH262" s="41"/>
      <c r="AI262" s="41"/>
      <c r="AJ262" s="41"/>
      <c r="AK262" s="44">
        <f t="shared" si="8"/>
        <v>102.9</v>
      </c>
      <c r="AL262" s="45"/>
      <c r="AM262" s="45"/>
      <c r="AN262" s="44"/>
      <c r="AO262" s="46"/>
    </row>
    <row r="263" spans="1:41" ht="21" customHeight="1" x14ac:dyDescent="0.2">
      <c r="A263" s="34">
        <v>259</v>
      </c>
      <c r="B263" s="35" t="s">
        <v>500</v>
      </c>
      <c r="C263" s="97">
        <v>18495531</v>
      </c>
      <c r="D263" s="38" t="s">
        <v>501</v>
      </c>
      <c r="E263" s="37" t="s">
        <v>502</v>
      </c>
      <c r="F263" s="38" t="s">
        <v>17</v>
      </c>
      <c r="G263" s="38" t="s">
        <v>8</v>
      </c>
      <c r="H263" s="39">
        <v>44963</v>
      </c>
      <c r="I263" s="38" t="s">
        <v>62</v>
      </c>
      <c r="J263" s="38"/>
      <c r="K263" s="38"/>
      <c r="L263" s="49"/>
      <c r="M263" s="49"/>
      <c r="N263" s="49"/>
      <c r="O263" s="49"/>
      <c r="P263" s="49"/>
      <c r="Q263" s="49"/>
      <c r="R263" s="49"/>
      <c r="S263" s="49"/>
      <c r="T263" s="49"/>
      <c r="U263" s="38"/>
      <c r="V263" s="38"/>
      <c r="W263" s="41"/>
      <c r="X263" s="41">
        <v>5</v>
      </c>
      <c r="Y263" s="41">
        <v>0</v>
      </c>
      <c r="Z263" s="41">
        <v>0</v>
      </c>
      <c r="AA263" s="42">
        <v>80</v>
      </c>
      <c r="AB263" s="40">
        <f>AA263-(J263+K263+L263+M263+N263+O263+P263+Q263+R263+S263+T263+U263+V263+W263+X263+Y263+Z263)</f>
        <v>75</v>
      </c>
      <c r="AC263" s="43"/>
      <c r="AD263" s="136"/>
      <c r="AE263" s="137"/>
      <c r="AF263" s="137"/>
      <c r="AG263" s="137"/>
      <c r="AH263" s="137"/>
      <c r="AI263" s="137"/>
      <c r="AJ263" s="137"/>
      <c r="AK263" s="44">
        <f t="shared" si="8"/>
        <v>75</v>
      </c>
      <c r="AL263" s="138"/>
      <c r="AM263" s="139"/>
      <c r="AN263" s="140"/>
      <c r="AO263" s="46"/>
    </row>
    <row r="264" spans="1:41" ht="21" customHeight="1" x14ac:dyDescent="0.2">
      <c r="A264" s="34">
        <v>260</v>
      </c>
      <c r="B264" s="35" t="s">
        <v>503</v>
      </c>
      <c r="C264" s="36">
        <v>18386170</v>
      </c>
      <c r="D264" s="37" t="s">
        <v>501</v>
      </c>
      <c r="E264" s="37" t="s">
        <v>502</v>
      </c>
      <c r="F264" s="37" t="s">
        <v>17</v>
      </c>
      <c r="G264" s="38" t="s">
        <v>8</v>
      </c>
      <c r="H264" s="39">
        <v>42955</v>
      </c>
      <c r="I264" s="38" t="s">
        <v>10</v>
      </c>
      <c r="J264" s="40"/>
      <c r="K264" s="40"/>
      <c r="L264" s="40"/>
      <c r="M264" s="40"/>
      <c r="N264" s="40"/>
      <c r="O264" s="40"/>
      <c r="P264" s="40"/>
      <c r="Q264" s="40"/>
      <c r="R264" s="40">
        <v>23.2</v>
      </c>
      <c r="S264" s="40"/>
      <c r="T264" s="40"/>
      <c r="U264" s="40">
        <v>0</v>
      </c>
      <c r="V264" s="40">
        <v>0</v>
      </c>
      <c r="W264" s="41">
        <v>0</v>
      </c>
      <c r="X264" s="41">
        <v>0</v>
      </c>
      <c r="Y264" s="41">
        <v>0</v>
      </c>
      <c r="Z264" s="41">
        <v>0</v>
      </c>
      <c r="AA264" s="42">
        <v>320</v>
      </c>
      <c r="AB264" s="40">
        <f>AA264-(J264+K264+L264+M264+N264+O264+P264+Q264+R264+S264+T264+U264+V264+W264+X264+Y264+Z264)</f>
        <v>296.8</v>
      </c>
      <c r="AC264" s="40"/>
      <c r="AD264" s="141"/>
      <c r="AE264" s="141"/>
      <c r="AF264" s="141"/>
      <c r="AG264" s="141"/>
      <c r="AH264" s="41"/>
      <c r="AI264" s="41"/>
      <c r="AJ264" s="41"/>
      <c r="AK264" s="44">
        <f t="shared" si="8"/>
        <v>296.8</v>
      </c>
      <c r="AL264" s="142"/>
      <c r="AM264" s="142"/>
      <c r="AN264" s="143"/>
      <c r="AO264" s="46"/>
    </row>
    <row r="265" spans="1:41" ht="21" customHeight="1" x14ac:dyDescent="0.2">
      <c r="A265" s="34">
        <v>261</v>
      </c>
      <c r="B265" s="35" t="s">
        <v>504</v>
      </c>
      <c r="C265" s="144">
        <v>10276247</v>
      </c>
      <c r="D265" s="37" t="s">
        <v>501</v>
      </c>
      <c r="E265" s="37" t="s">
        <v>502</v>
      </c>
      <c r="F265" s="37" t="s">
        <v>201</v>
      </c>
      <c r="G265" s="38" t="s">
        <v>8</v>
      </c>
      <c r="H265" s="39">
        <v>40210</v>
      </c>
      <c r="I265" s="38" t="s">
        <v>11</v>
      </c>
      <c r="J265" s="40"/>
      <c r="K265" s="40">
        <v>5</v>
      </c>
      <c r="L265" s="40">
        <v>11</v>
      </c>
      <c r="M265" s="40">
        <v>15</v>
      </c>
      <c r="N265" s="40">
        <v>14</v>
      </c>
      <c r="O265" s="40">
        <v>43.1</v>
      </c>
      <c r="P265" s="40">
        <v>50</v>
      </c>
      <c r="Q265" s="40"/>
      <c r="R265" s="40"/>
      <c r="S265" s="40"/>
      <c r="T265" s="40">
        <v>228.2</v>
      </c>
      <c r="U265" s="40">
        <v>3</v>
      </c>
      <c r="V265" s="40">
        <v>8</v>
      </c>
      <c r="W265" s="41">
        <v>37.9</v>
      </c>
      <c r="X265" s="41">
        <v>50</v>
      </c>
      <c r="Y265" s="41">
        <v>22</v>
      </c>
      <c r="Z265" s="41">
        <v>0</v>
      </c>
      <c r="AA265" s="42">
        <v>540</v>
      </c>
      <c r="AB265" s="40">
        <f>AA265-(J265+K265+L265+M265+N265+O265+P265+Q265+R265+S265+T265+U265+V265+W265+X265+Y265+Z265)</f>
        <v>52.800000000000068</v>
      </c>
      <c r="AC265" s="40"/>
      <c r="AD265" s="40"/>
      <c r="AE265" s="40"/>
      <c r="AF265" s="40"/>
      <c r="AG265" s="40"/>
      <c r="AH265" s="43"/>
      <c r="AI265" s="43"/>
      <c r="AJ265" s="43"/>
      <c r="AK265" s="44">
        <f t="shared" si="8"/>
        <v>52.800000000000068</v>
      </c>
      <c r="AL265" s="142"/>
      <c r="AM265" s="142"/>
      <c r="AN265" s="143"/>
      <c r="AO265" s="37"/>
    </row>
    <row r="266" spans="1:41" ht="25.5" x14ac:dyDescent="0.2">
      <c r="A266" s="34">
        <v>262</v>
      </c>
      <c r="B266" s="145" t="s">
        <v>505</v>
      </c>
      <c r="C266" s="146">
        <v>7556508</v>
      </c>
      <c r="D266" s="147" t="s">
        <v>501</v>
      </c>
      <c r="E266" s="56" t="s">
        <v>502</v>
      </c>
      <c r="F266" s="56" t="s">
        <v>17</v>
      </c>
      <c r="G266" s="57" t="s">
        <v>8</v>
      </c>
      <c r="H266" s="58">
        <v>42955</v>
      </c>
      <c r="I266" s="57" t="s">
        <v>10</v>
      </c>
      <c r="J266" s="59"/>
      <c r="K266" s="59"/>
      <c r="L266" s="59"/>
      <c r="M266" s="59"/>
      <c r="N266" s="59"/>
      <c r="O266" s="59"/>
      <c r="P266" s="59"/>
      <c r="Q266" s="59"/>
      <c r="R266" s="59">
        <v>26.8</v>
      </c>
      <c r="S266" s="59"/>
      <c r="T266" s="59"/>
      <c r="U266" s="59">
        <v>8</v>
      </c>
      <c r="V266" s="59">
        <v>0</v>
      </c>
      <c r="W266" s="60">
        <v>8</v>
      </c>
      <c r="X266" s="60">
        <v>0</v>
      </c>
      <c r="Y266" s="60">
        <v>0</v>
      </c>
      <c r="Z266" s="60">
        <v>0</v>
      </c>
      <c r="AA266" s="61">
        <v>320</v>
      </c>
      <c r="AB266" s="59">
        <f>AA266-(J266+K266+L266+M266+N266+O266+P266+Q266+R266+S266+T266+U266+V266+W266+X266+Y266+Z266)</f>
        <v>277.2</v>
      </c>
      <c r="AC266" s="59"/>
      <c r="AD266" s="148"/>
      <c r="AE266" s="148"/>
      <c r="AF266" s="148"/>
      <c r="AG266" s="148"/>
      <c r="AH266" s="60"/>
      <c r="AI266" s="60"/>
      <c r="AJ266" s="60"/>
      <c r="AK266" s="63">
        <f t="shared" si="8"/>
        <v>277.2</v>
      </c>
      <c r="AL266" s="149"/>
      <c r="AM266" s="149"/>
      <c r="AN266" s="150"/>
      <c r="AO266" s="151" t="s">
        <v>506</v>
      </c>
    </row>
    <row r="267" spans="1:41" s="111" customFormat="1" ht="22.5" customHeight="1" x14ac:dyDescent="0.25">
      <c r="A267" s="480" t="s">
        <v>145</v>
      </c>
      <c r="B267" s="481"/>
      <c r="C267" s="482"/>
      <c r="D267" s="483"/>
      <c r="E267" s="484"/>
      <c r="F267" s="483"/>
      <c r="G267" s="482"/>
      <c r="H267" s="482"/>
      <c r="I267" s="482"/>
      <c r="J267" s="482"/>
      <c r="K267" s="482"/>
      <c r="L267" s="482"/>
      <c r="M267" s="482"/>
      <c r="N267" s="482"/>
      <c r="O267" s="482"/>
      <c r="P267" s="482"/>
      <c r="Q267" s="482"/>
      <c r="R267" s="482"/>
      <c r="S267" s="482"/>
      <c r="T267" s="482"/>
      <c r="U267" s="482"/>
      <c r="V267" s="482"/>
      <c r="W267" s="485"/>
      <c r="X267" s="485"/>
      <c r="Y267" s="485"/>
      <c r="Z267" s="485"/>
      <c r="AA267" s="486"/>
      <c r="AB267" s="482"/>
      <c r="AC267" s="487">
        <f>SUBTOTAL(109,Topes_2026[Columna28])</f>
        <v>84.924999999999997</v>
      </c>
      <c r="AD267" s="483"/>
      <c r="AE267" s="483"/>
      <c r="AF267" s="483"/>
      <c r="AG267" s="483"/>
      <c r="AH267" s="483"/>
      <c r="AI267" s="483"/>
      <c r="AJ267" s="483"/>
      <c r="AK267" s="488"/>
      <c r="AL267" s="483"/>
      <c r="AM267" s="483"/>
      <c r="AN267" s="483"/>
      <c r="AO267" s="489"/>
    </row>
    <row r="268" spans="1:41" ht="18" customHeight="1" x14ac:dyDescent="0.2">
      <c r="A268" s="152"/>
      <c r="B268" s="153"/>
      <c r="C268" s="154"/>
      <c r="D268" s="111"/>
      <c r="E268" s="155"/>
      <c r="F268" s="111"/>
      <c r="G268" s="111"/>
      <c r="H268" s="156"/>
      <c r="I268" s="111"/>
      <c r="J268" s="111"/>
      <c r="K268" s="111"/>
      <c r="L268" s="157"/>
      <c r="M268" s="157"/>
      <c r="N268" s="157"/>
      <c r="O268" s="157"/>
      <c r="P268" s="157"/>
      <c r="Q268" s="157"/>
      <c r="R268" s="157"/>
      <c r="S268" s="157"/>
      <c r="T268" s="157"/>
      <c r="U268" s="111"/>
      <c r="V268" s="111"/>
      <c r="W268" s="158"/>
      <c r="X268" s="158"/>
      <c r="Y268" s="158"/>
      <c r="Z268" s="158"/>
      <c r="AA268" s="152"/>
      <c r="AB268" s="135"/>
      <c r="AC268" s="135"/>
      <c r="AD268" s="111"/>
      <c r="AE268" s="157"/>
      <c r="AF268" s="157"/>
      <c r="AG268" s="157"/>
      <c r="AH268" s="157"/>
      <c r="AI268" s="157"/>
      <c r="AJ268" s="157"/>
      <c r="AK268" s="159"/>
      <c r="AL268" s="160"/>
      <c r="AM268" s="161"/>
      <c r="AN268" s="162"/>
      <c r="AO268" s="163"/>
    </row>
    <row r="269" spans="1:41" ht="15" customHeight="1" x14ac:dyDescent="0.2">
      <c r="A269" s="171"/>
      <c r="B269" s="172" t="s">
        <v>507</v>
      </c>
      <c r="AG269" s="111"/>
      <c r="AH269" s="111"/>
      <c r="AI269" s="111"/>
      <c r="AJ269" s="111"/>
    </row>
    <row r="270" spans="1:41" x14ac:dyDescent="0.2">
      <c r="AG270" s="111"/>
      <c r="AH270" s="111"/>
      <c r="AI270" s="111"/>
      <c r="AJ270" s="111"/>
    </row>
  </sheetData>
  <pageMargins left="0.70866141732283472" right="0.70866141732283472" top="0.74803149606299213" bottom="0.74803149606299213" header="0.31496062992125984" footer="0.31496062992125984"/>
  <pageSetup paperSize="258" scale="50" orientation="landscape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tabSelected="1" zoomScaleNormal="100" workbookViewId="0">
      <selection activeCell="J21" sqref="J21"/>
    </sheetView>
  </sheetViews>
  <sheetFormatPr baseColWidth="10" defaultRowHeight="12.75" x14ac:dyDescent="0.2"/>
  <cols>
    <col min="1" max="1" width="24.85546875" style="16" customWidth="1"/>
    <col min="2" max="2" width="28.140625" style="173" customWidth="1"/>
    <col min="3" max="3" width="11.42578125" style="173" customWidth="1"/>
    <col min="4" max="4" width="14" style="165" customWidth="1"/>
    <col min="5" max="7" width="13.140625" style="16" hidden="1" customWidth="1"/>
    <col min="8" max="8" width="12" style="16" customWidth="1"/>
    <col min="9" max="16384" width="11.42578125" style="16"/>
  </cols>
  <sheetData>
    <row r="1" spans="1:8" s="157" customFormat="1" ht="57.75" customHeight="1" x14ac:dyDescent="0.25">
      <c r="A1" s="175" t="s">
        <v>632</v>
      </c>
      <c r="B1" s="175" t="s">
        <v>139</v>
      </c>
      <c r="C1" s="175" t="s">
        <v>524</v>
      </c>
      <c r="D1" s="175" t="s">
        <v>1046</v>
      </c>
      <c r="E1" s="174" t="s">
        <v>98</v>
      </c>
      <c r="F1" s="174" t="s">
        <v>99</v>
      </c>
      <c r="G1" s="174" t="s">
        <v>100</v>
      </c>
      <c r="H1" s="174" t="s">
        <v>145</v>
      </c>
    </row>
    <row r="2" spans="1:8" s="157" customFormat="1" ht="30" customHeight="1" x14ac:dyDescent="0.2">
      <c r="A2" s="176" t="s">
        <v>140</v>
      </c>
      <c r="B2" s="173"/>
      <c r="C2" s="173"/>
      <c r="D2" s="204">
        <f>Titulo!O3</f>
        <v>80</v>
      </c>
      <c r="H2" s="157">
        <f>SUM(Tabla6[[#This Row],[Puntos asignados CIARP 01- 18/03/2026]:[Columna3]])</f>
        <v>80</v>
      </c>
    </row>
    <row r="3" spans="1:8" s="157" customFormat="1" ht="28.5" customHeight="1" x14ac:dyDescent="0.2">
      <c r="A3" s="176" t="s">
        <v>141</v>
      </c>
      <c r="B3" s="173"/>
      <c r="C3" s="173"/>
      <c r="D3" s="204">
        <f>Ascenso_Categoria!K3+Ascenso_Categoria!K4+Ascenso_Categoria!K5+Ascenso_Categoria!K6+Ascenso_Categoria!K7+Ascenso_Categoria!K8</f>
        <v>102</v>
      </c>
      <c r="H3" s="157">
        <f>SUM(Tabla6[[#This Row],[Puntos asignados CIARP 01- 18/03/2026]:[Columna3]])</f>
        <v>102</v>
      </c>
    </row>
    <row r="4" spans="1:8" s="157" customFormat="1" ht="25.5" customHeight="1" x14ac:dyDescent="0.25">
      <c r="A4" s="176" t="s">
        <v>139</v>
      </c>
      <c r="B4" s="176" t="s">
        <v>130</v>
      </c>
      <c r="C4" s="176"/>
      <c r="D4" s="204">
        <f>Pub_Rev_Index!X4+Pub_Rev_Index!X7+Pub_Rev_Index!X9+Pub_Rev_Index!X10+Pub_Rev_Index!X12+Pub_Rev_Index!X13+Pub_Rev_Index!X15+Pub_Rev_Index!X18+Pub_Rev_Index!X21+Pub_Rev_Index!X22+Pub_Rev_Index!X24</f>
        <v>74.5</v>
      </c>
      <c r="H4" s="157">
        <f>SUM(Tabla6[[#This Row],[Puntos asignados CIARP 01- 18/03/2026]:[Columna3]])</f>
        <v>74.5</v>
      </c>
    </row>
    <row r="5" spans="1:8" s="157" customFormat="1" ht="28.5" customHeight="1" x14ac:dyDescent="0.2">
      <c r="A5" s="16"/>
      <c r="B5" s="173" t="s">
        <v>128</v>
      </c>
      <c r="C5" s="173"/>
      <c r="D5" s="155"/>
      <c r="H5" s="157">
        <f>SUM(Tabla6[[#This Row],[Puntos asignados CIARP 01- 18/03/2026]:[Columna3]])</f>
        <v>0</v>
      </c>
    </row>
    <row r="6" spans="1:8" s="157" customFormat="1" x14ac:dyDescent="0.2">
      <c r="A6" s="16"/>
      <c r="B6" s="173" t="s">
        <v>129</v>
      </c>
      <c r="C6" s="173"/>
      <c r="D6" s="155"/>
      <c r="H6" s="157">
        <f>SUM(Tabla6[[#This Row],[Puntos asignados CIARP 01- 18/03/2026]:[Columna3]])</f>
        <v>0</v>
      </c>
    </row>
    <row r="7" spans="1:8" s="157" customFormat="1" x14ac:dyDescent="0.2">
      <c r="A7" s="16"/>
      <c r="B7" s="173" t="s">
        <v>131</v>
      </c>
      <c r="C7" s="173"/>
      <c r="D7" s="155"/>
      <c r="H7" s="157">
        <f>SUM(Tabla6[[#This Row],[Puntos asignados CIARP 01- 18/03/2026]:[Columna3]])</f>
        <v>0</v>
      </c>
    </row>
    <row r="8" spans="1:8" s="157" customFormat="1" x14ac:dyDescent="0.2">
      <c r="A8" s="16"/>
      <c r="B8" s="173" t="s">
        <v>132</v>
      </c>
      <c r="C8" s="203"/>
      <c r="D8" s="204">
        <f>Libro_Ensayo!S3</f>
        <v>10.425000000000001</v>
      </c>
      <c r="H8" s="291">
        <f>SUM(Tabla6[[#This Row],[Puntos asignados CIARP 01- 18/03/2026]:[Columna3]])</f>
        <v>10.425000000000001</v>
      </c>
    </row>
    <row r="9" spans="1:8" s="157" customFormat="1" x14ac:dyDescent="0.2">
      <c r="A9" s="16"/>
      <c r="B9" s="199" t="s">
        <v>133</v>
      </c>
      <c r="C9" s="173"/>
      <c r="D9" s="155"/>
      <c r="H9" s="157">
        <f>SUM(Tabla6[[#This Row],[Puntos asignados CIARP 01- 18/03/2026]:[Columna3]])</f>
        <v>0</v>
      </c>
    </row>
    <row r="10" spans="1:8" s="157" customFormat="1" x14ac:dyDescent="0.2">
      <c r="A10" s="16"/>
      <c r="B10" s="173" t="s">
        <v>134</v>
      </c>
      <c r="C10" s="173"/>
      <c r="D10" s="155"/>
      <c r="H10" s="157">
        <f>SUM(Tabla6[[#This Row],[Puntos asignados CIARP 01- 18/03/2026]:[Columna3]])</f>
        <v>0</v>
      </c>
    </row>
    <row r="11" spans="1:8" s="157" customFormat="1" x14ac:dyDescent="0.2">
      <c r="A11" s="16"/>
      <c r="B11" s="173" t="s">
        <v>135</v>
      </c>
      <c r="C11" s="173"/>
      <c r="D11" s="155"/>
      <c r="H11" s="157">
        <f>SUM(Tabla6[[#This Row],[Puntos asignados CIARP 01- 18/03/2026]:[Columna3]])</f>
        <v>0</v>
      </c>
    </row>
    <row r="12" spans="1:8" s="157" customFormat="1" x14ac:dyDescent="0.2">
      <c r="A12" s="16"/>
      <c r="B12" s="173" t="s">
        <v>136</v>
      </c>
      <c r="C12" s="173"/>
      <c r="D12" s="155"/>
      <c r="H12" s="157">
        <f>SUM(Tabla6[[#This Row],[Puntos asignados CIARP 01- 18/03/2026]:[Columna3]])</f>
        <v>0</v>
      </c>
    </row>
    <row r="13" spans="1:8" x14ac:dyDescent="0.2">
      <c r="B13" s="173" t="s">
        <v>137</v>
      </c>
      <c r="H13" s="16">
        <f>SUM(Tabla6[[#This Row],[Puntos asignados CIARP 01- 18/03/2026]:[Columna3]])</f>
        <v>0</v>
      </c>
    </row>
    <row r="14" spans="1:8" x14ac:dyDescent="0.2">
      <c r="B14" s="173" t="s">
        <v>138</v>
      </c>
      <c r="H14" s="16">
        <f>SUM(Tabla6[[#This Row],[Puntos asignados CIARP 01- 18/03/2026]:[Columna3]])</f>
        <v>0</v>
      </c>
    </row>
    <row r="15" spans="1:8" s="157" customFormat="1" ht="25.5" x14ac:dyDescent="0.25">
      <c r="A15" s="176" t="s">
        <v>142</v>
      </c>
      <c r="B15" s="176"/>
      <c r="C15" s="176"/>
      <c r="D15" s="311">
        <f>SUM(DAA!J4:J27)</f>
        <v>99.500000000000014</v>
      </c>
      <c r="H15" s="157">
        <f>SUM(Tabla6[[#This Row],[Puntos asignados CIARP 01- 18/03/2026]:[Columna3]])</f>
        <v>99.500000000000014</v>
      </c>
    </row>
    <row r="16" spans="1:8" s="157" customFormat="1" ht="21" customHeight="1" x14ac:dyDescent="0.25">
      <c r="A16" s="153" t="s">
        <v>143</v>
      </c>
      <c r="B16" s="176"/>
      <c r="C16" s="176"/>
      <c r="D16" s="311">
        <f>SUM(DDD_Auxiliar!J4:J22,DDD_Asistente!J4:J26,DDD_Asociado!J4:J23,DDD_Titular!J4:J23)</f>
        <v>281.3</v>
      </c>
      <c r="H16" s="157">
        <f>SUM(Tabla6[[#This Row],[Puntos asignados CIARP 01- 18/03/2026]:[Columna3]])</f>
        <v>281.3</v>
      </c>
    </row>
    <row r="17" spans="1:8" s="157" customFormat="1" ht="22.5" customHeight="1" x14ac:dyDescent="0.25">
      <c r="A17" s="153" t="s">
        <v>144</v>
      </c>
      <c r="B17" s="176"/>
      <c r="C17" s="176"/>
      <c r="D17" s="311">
        <f>SUM(Exp_Calificada!J4:J265)</f>
        <v>518.00000000000011</v>
      </c>
      <c r="H17" s="157">
        <f>SUM(Tabla6[[#This Row],[Puntos asignados CIARP 01- 18/03/2026]:[Columna3]])</f>
        <v>518.00000000000011</v>
      </c>
    </row>
    <row r="18" spans="1:8" s="157" customFormat="1" ht="20.25" customHeight="1" x14ac:dyDescent="0.25">
      <c r="A18" s="157" t="s">
        <v>145</v>
      </c>
      <c r="B18" s="176"/>
      <c r="C18" s="204">
        <f>SUBTOTAL(109,Tabla6[No. de productos])</f>
        <v>0</v>
      </c>
      <c r="D18" s="204">
        <f>SUBTOTAL(109,Tabla6[Puntos asignados CIARP 01- 18/03/2026])</f>
        <v>1165.7250000000001</v>
      </c>
      <c r="E18" s="135">
        <f>SUBTOTAL(109,Tabla6[Columna2])</f>
        <v>0</v>
      </c>
      <c r="F18" s="135"/>
      <c r="G18" s="135"/>
      <c r="H18" s="135">
        <f>SUBTOTAL(109,Tabla6[Total])</f>
        <v>1165.7250000000001</v>
      </c>
    </row>
    <row r="19" spans="1:8" s="157" customFormat="1" x14ac:dyDescent="0.25">
      <c r="A19" s="403"/>
      <c r="B19" s="404"/>
      <c r="C19" s="404"/>
      <c r="D19" s="405"/>
      <c r="E19" s="403"/>
      <c r="F19" s="403"/>
      <c r="G19" s="403"/>
      <c r="H19" s="403"/>
    </row>
    <row r="20" spans="1:8" s="312" customFormat="1" ht="25.5" x14ac:dyDescent="0.25">
      <c r="A20" s="310" t="s">
        <v>723</v>
      </c>
      <c r="B20" s="307"/>
      <c r="C20" s="307"/>
      <c r="D20" s="308">
        <f>SUM(D4:D14)</f>
        <v>84.924999999999997</v>
      </c>
      <c r="E20" s="309"/>
      <c r="F20" s="309"/>
      <c r="G20" s="309"/>
      <c r="H20" s="309"/>
    </row>
  </sheetData>
  <phoneticPr fontId="21" type="noConversion"/>
  <printOptions horizontalCentered="1"/>
  <pageMargins left="0.70866141732283472" right="0.70866141732283472" top="0.74803149606299213" bottom="0.74803149606299213" header="0.31496062992125984" footer="0.31496062992125984"/>
  <pageSetup paperSize="258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85A1A-BCA9-441A-8DC4-E13EBDFB5748}">
  <sheetPr>
    <tabColor theme="6" tint="0.39997558519241921"/>
  </sheetPr>
  <dimension ref="A1:Q12"/>
  <sheetViews>
    <sheetView workbookViewId="0">
      <selection activeCell="R2" sqref="R2"/>
    </sheetView>
  </sheetViews>
  <sheetFormatPr baseColWidth="10" defaultRowHeight="12.75" x14ac:dyDescent="0.2"/>
  <cols>
    <col min="1" max="1" width="5" style="321" bestFit="1" customWidth="1"/>
    <col min="2" max="2" width="7.140625" style="321" customWidth="1"/>
    <col min="3" max="3" width="5.5703125" style="321" customWidth="1"/>
    <col min="4" max="4" width="12.140625" style="321" customWidth="1"/>
    <col min="5" max="5" width="15.140625" style="321" bestFit="1" customWidth="1"/>
    <col min="6" max="6" width="12.7109375" style="422" bestFit="1" customWidth="1"/>
    <col min="7" max="7" width="10.42578125" style="422" bestFit="1" customWidth="1"/>
    <col min="8" max="8" width="11" style="422" bestFit="1" customWidth="1"/>
    <col min="9" max="9" width="14.85546875" style="321" customWidth="1"/>
    <col min="10" max="10" width="10.42578125" style="321" bestFit="1" customWidth="1"/>
    <col min="11" max="11" width="16.7109375" style="321" bestFit="1" customWidth="1"/>
    <col min="12" max="12" width="13" style="321" customWidth="1"/>
    <col min="13" max="14" width="11.85546875" style="321" bestFit="1" customWidth="1"/>
    <col min="15" max="15" width="10.7109375" style="321" bestFit="1" customWidth="1"/>
    <col min="16" max="16" width="12.28515625" style="321" customWidth="1"/>
    <col min="17" max="17" width="15.140625" style="321" bestFit="1" customWidth="1"/>
    <col min="18" max="16384" width="11.42578125" style="321"/>
  </cols>
  <sheetData>
    <row r="1" spans="1:17" ht="72" customHeight="1" x14ac:dyDescent="0.2">
      <c r="E1" s="490"/>
      <c r="F1" s="490"/>
      <c r="G1" s="490"/>
      <c r="H1" s="490"/>
      <c r="I1" s="490"/>
      <c r="J1" s="490"/>
      <c r="K1" s="490"/>
      <c r="L1" s="490"/>
      <c r="M1" s="490"/>
      <c r="N1" s="490"/>
      <c r="O1" s="490"/>
      <c r="Q1" s="170"/>
    </row>
    <row r="2" spans="1:17" ht="51" x14ac:dyDescent="0.2">
      <c r="A2" s="180" t="s">
        <v>6</v>
      </c>
      <c r="B2" s="179" t="s">
        <v>1</v>
      </c>
      <c r="C2" s="180" t="s">
        <v>5</v>
      </c>
      <c r="D2" s="179" t="s">
        <v>623</v>
      </c>
      <c r="E2" s="179" t="s">
        <v>7</v>
      </c>
      <c r="F2" s="179" t="s">
        <v>624</v>
      </c>
      <c r="G2" s="179" t="s">
        <v>87</v>
      </c>
      <c r="H2" s="179" t="s">
        <v>3</v>
      </c>
      <c r="I2" s="179" t="s">
        <v>88</v>
      </c>
      <c r="J2" s="179" t="s">
        <v>2</v>
      </c>
      <c r="K2" s="179" t="s">
        <v>625</v>
      </c>
      <c r="L2" s="179" t="s">
        <v>626</v>
      </c>
      <c r="M2" s="179" t="s">
        <v>627</v>
      </c>
      <c r="N2" s="179" t="s">
        <v>628</v>
      </c>
      <c r="O2" s="179" t="s">
        <v>0</v>
      </c>
      <c r="P2" s="179" t="s">
        <v>635</v>
      </c>
      <c r="Q2" s="179" t="s">
        <v>30</v>
      </c>
    </row>
    <row r="3" spans="1:17" ht="51" x14ac:dyDescent="0.2">
      <c r="A3" s="88">
        <v>2026</v>
      </c>
      <c r="B3" s="88" t="s">
        <v>93</v>
      </c>
      <c r="C3" s="88">
        <v>1</v>
      </c>
      <c r="D3" s="301">
        <v>1102042502</v>
      </c>
      <c r="E3" s="302" t="s">
        <v>687</v>
      </c>
      <c r="F3" s="320" t="s">
        <v>21</v>
      </c>
      <c r="G3" s="320" t="s">
        <v>22</v>
      </c>
      <c r="H3" s="320" t="s">
        <v>8</v>
      </c>
      <c r="I3" s="295" t="s">
        <v>688</v>
      </c>
      <c r="J3" s="295" t="s">
        <v>24</v>
      </c>
      <c r="K3" s="89" t="s">
        <v>714</v>
      </c>
      <c r="L3" s="89" t="s">
        <v>715</v>
      </c>
      <c r="M3" s="89" t="s">
        <v>716</v>
      </c>
      <c r="N3" s="304">
        <v>46003</v>
      </c>
      <c r="O3" s="305">
        <v>80</v>
      </c>
      <c r="P3" s="182" t="s">
        <v>1043</v>
      </c>
      <c r="Q3" s="303"/>
    </row>
    <row r="4" spans="1:17" x14ac:dyDescent="0.2">
      <c r="A4" s="422"/>
      <c r="B4" s="422"/>
      <c r="C4" s="422"/>
      <c r="D4" s="491"/>
      <c r="E4" s="423"/>
      <c r="F4" s="424"/>
      <c r="G4" s="424"/>
      <c r="H4" s="424"/>
      <c r="I4" s="424"/>
      <c r="J4" s="424"/>
      <c r="K4" s="424"/>
      <c r="L4" s="424"/>
      <c r="M4" s="424"/>
      <c r="N4" s="492"/>
      <c r="O4" s="493"/>
      <c r="P4" s="494"/>
      <c r="Q4" s="424"/>
    </row>
    <row r="5" spans="1:17" x14ac:dyDescent="0.2">
      <c r="L5" s="450" t="s">
        <v>631</v>
      </c>
      <c r="M5" s="450"/>
      <c r="N5" s="450"/>
      <c r="O5" s="495">
        <f>SUM(O3:O4)</f>
        <v>80</v>
      </c>
    </row>
    <row r="8" spans="1:17" x14ac:dyDescent="0.2">
      <c r="A8" s="173"/>
      <c r="B8" s="173"/>
      <c r="C8" s="173"/>
      <c r="D8" s="173"/>
      <c r="E8" s="173"/>
      <c r="F8" s="437" t="s">
        <v>12</v>
      </c>
      <c r="G8" s="437"/>
      <c r="H8" s="437"/>
      <c r="I8" s="437"/>
      <c r="J8" s="173"/>
      <c r="K8" s="437" t="s">
        <v>13</v>
      </c>
      <c r="L8" s="437"/>
      <c r="M8" s="437"/>
      <c r="N8" s="437"/>
      <c r="O8" s="173"/>
      <c r="P8" s="173"/>
      <c r="Q8" s="173"/>
    </row>
    <row r="9" spans="1:17" x14ac:dyDescent="0.2">
      <c r="A9" s="173"/>
      <c r="B9" s="173"/>
      <c r="C9" s="173"/>
      <c r="D9" s="173"/>
      <c r="E9" s="173"/>
      <c r="F9" s="438" t="s">
        <v>14</v>
      </c>
      <c r="G9" s="438"/>
      <c r="H9" s="438"/>
      <c r="I9" s="438"/>
      <c r="J9" s="173"/>
      <c r="K9" s="438" t="s">
        <v>18</v>
      </c>
      <c r="L9" s="438"/>
      <c r="M9" s="438"/>
      <c r="N9" s="438"/>
      <c r="O9" s="173"/>
      <c r="P9" s="173"/>
      <c r="Q9" s="173"/>
    </row>
    <row r="10" spans="1:17" x14ac:dyDescent="0.2">
      <c r="A10" s="173"/>
      <c r="B10" s="173"/>
      <c r="C10" s="173"/>
      <c r="D10" s="173"/>
      <c r="E10" s="173"/>
      <c r="F10" s="439" t="s">
        <v>19</v>
      </c>
      <c r="G10" s="439"/>
      <c r="H10" s="439"/>
      <c r="I10" s="439"/>
      <c r="J10" s="173"/>
      <c r="K10" s="439" t="s">
        <v>20</v>
      </c>
      <c r="L10" s="439"/>
      <c r="M10" s="439"/>
      <c r="N10" s="439"/>
      <c r="O10" s="173"/>
      <c r="P10" s="173"/>
      <c r="Q10" s="173"/>
    </row>
    <row r="11" spans="1:17" x14ac:dyDescent="0.2">
      <c r="A11" s="173"/>
      <c r="B11" s="173"/>
      <c r="C11" s="173"/>
      <c r="D11" s="173"/>
      <c r="E11" s="173"/>
      <c r="F11" s="439" t="s">
        <v>15</v>
      </c>
      <c r="G11" s="439"/>
      <c r="H11" s="439"/>
      <c r="I11" s="439"/>
      <c r="J11" s="173"/>
      <c r="K11" s="449" t="s">
        <v>16</v>
      </c>
      <c r="L11" s="449"/>
      <c r="M11" s="449"/>
      <c r="N11" s="449"/>
      <c r="O11" s="173"/>
      <c r="P11" s="173"/>
      <c r="Q11" s="173"/>
    </row>
    <row r="12" spans="1:17" x14ac:dyDescent="0.2">
      <c r="H12" s="321"/>
    </row>
  </sheetData>
  <mergeCells count="9">
    <mergeCell ref="F11:I11"/>
    <mergeCell ref="K11:N11"/>
    <mergeCell ref="L5:N5"/>
    <mergeCell ref="F8:I8"/>
    <mergeCell ref="K8:N8"/>
    <mergeCell ref="F9:I9"/>
    <mergeCell ref="K9:N9"/>
    <mergeCell ref="F10:I10"/>
    <mergeCell ref="K10:N10"/>
  </mergeCells>
  <dataValidations count="1">
    <dataValidation allowBlank="1" showInputMessage="1" showErrorMessage="1" prompt="Ingrese el autor, si es más de un autor presione la tecla ALT + ENTER para ingresar el segundo y así sucesivamente " sqref="F5:H6" xr:uid="{266DA116-0ED6-449A-B318-D2578A48884A}"/>
  </dataValidations>
  <pageMargins left="0.7" right="0.7" top="0.75" bottom="0.75" header="0.3" footer="0.3"/>
  <pageSetup paperSize="258" scale="75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2C61F-751C-4F00-B4F0-B7A060A23C37}">
  <sheetPr>
    <tabColor theme="6" tint="0.39997558519241921"/>
  </sheetPr>
  <dimension ref="A1:N16"/>
  <sheetViews>
    <sheetView zoomScaleNormal="100" workbookViewId="0">
      <selection activeCell="O1" sqref="O1"/>
    </sheetView>
  </sheetViews>
  <sheetFormatPr baseColWidth="10" defaultRowHeight="12.75" x14ac:dyDescent="0.2"/>
  <cols>
    <col min="1" max="1" width="6.7109375" style="321" customWidth="1"/>
    <col min="2" max="2" width="9.5703125" style="321" bestFit="1" customWidth="1"/>
    <col min="3" max="3" width="5.7109375" style="321" customWidth="1"/>
    <col min="4" max="4" width="13.7109375" style="321" bestFit="1" customWidth="1"/>
    <col min="5" max="5" width="25.7109375" style="321" customWidth="1"/>
    <col min="6" max="6" width="11" style="321" bestFit="1" customWidth="1"/>
    <col min="7" max="7" width="18.85546875" style="173" customWidth="1"/>
    <col min="8" max="8" width="23.28515625" style="173" customWidth="1"/>
    <col min="9" max="9" width="16.28515625" style="321" customWidth="1"/>
    <col min="10" max="10" width="12.28515625" style="321" customWidth="1"/>
    <col min="11" max="11" width="10.7109375" style="321" bestFit="1" customWidth="1"/>
    <col min="12" max="12" width="11" style="321" customWidth="1"/>
    <col min="13" max="13" width="11.42578125" style="321"/>
    <col min="14" max="14" width="16" style="321" customWidth="1"/>
    <col min="15" max="16384" width="11.42578125" style="321"/>
  </cols>
  <sheetData>
    <row r="1" spans="1:14" ht="72" customHeight="1" x14ac:dyDescent="0.2">
      <c r="A1" s="497"/>
      <c r="B1" s="497"/>
      <c r="C1" s="498"/>
      <c r="D1" s="497"/>
      <c r="E1" s="499"/>
      <c r="F1" s="499"/>
      <c r="G1" s="499"/>
      <c r="H1" s="499"/>
      <c r="I1" s="499"/>
      <c r="J1" s="499"/>
      <c r="K1" s="499"/>
      <c r="L1" s="499"/>
    </row>
    <row r="2" spans="1:14" ht="38.25" x14ac:dyDescent="0.2">
      <c r="A2" s="180" t="s">
        <v>6</v>
      </c>
      <c r="B2" s="180" t="s">
        <v>1</v>
      </c>
      <c r="C2" s="180" t="s">
        <v>5</v>
      </c>
      <c r="D2" s="180" t="s">
        <v>68</v>
      </c>
      <c r="E2" s="500" t="s">
        <v>7</v>
      </c>
      <c r="F2" s="179" t="s">
        <v>69</v>
      </c>
      <c r="G2" s="501" t="s">
        <v>32</v>
      </c>
      <c r="H2" s="501" t="s">
        <v>2</v>
      </c>
      <c r="I2" s="179" t="s">
        <v>70</v>
      </c>
      <c r="J2" s="179" t="s">
        <v>71</v>
      </c>
      <c r="K2" s="179" t="s">
        <v>0</v>
      </c>
      <c r="L2" s="179" t="s">
        <v>72</v>
      </c>
      <c r="M2" s="179" t="s">
        <v>635</v>
      </c>
      <c r="N2" s="179" t="s">
        <v>30</v>
      </c>
    </row>
    <row r="3" spans="1:14" ht="51" x14ac:dyDescent="0.2">
      <c r="A3" s="88">
        <v>2026</v>
      </c>
      <c r="B3" s="88" t="s">
        <v>93</v>
      </c>
      <c r="C3" s="502">
        <v>1</v>
      </c>
      <c r="D3" s="503">
        <v>29226257</v>
      </c>
      <c r="E3" s="504" t="s">
        <v>731</v>
      </c>
      <c r="F3" s="505" t="s">
        <v>8</v>
      </c>
      <c r="G3" s="505" t="s">
        <v>732</v>
      </c>
      <c r="H3" s="182" t="s">
        <v>66</v>
      </c>
      <c r="I3" s="506" t="s">
        <v>734</v>
      </c>
      <c r="J3" s="183" t="s">
        <v>735</v>
      </c>
      <c r="K3" s="507" cm="1">
        <f t="array" ref="K3">_xlfn.IFS(L3="Asistente", 21, L3="Asociado", 16, L3="Titular", 22)</f>
        <v>16</v>
      </c>
      <c r="L3" s="182" t="s">
        <v>10</v>
      </c>
      <c r="M3" s="182" t="s">
        <v>1043</v>
      </c>
      <c r="N3" s="182"/>
    </row>
    <row r="4" spans="1:14" ht="51" x14ac:dyDescent="0.2">
      <c r="A4" s="88">
        <v>2026</v>
      </c>
      <c r="B4" s="88" t="s">
        <v>93</v>
      </c>
      <c r="C4" s="502">
        <v>2</v>
      </c>
      <c r="D4" s="508">
        <v>41943016</v>
      </c>
      <c r="E4" s="509" t="s">
        <v>733</v>
      </c>
      <c r="F4" s="510" t="s">
        <v>8</v>
      </c>
      <c r="G4" s="510" t="s">
        <v>67</v>
      </c>
      <c r="H4" s="507" t="s">
        <v>66</v>
      </c>
      <c r="I4" s="506" t="s">
        <v>734</v>
      </c>
      <c r="J4" s="183" t="s">
        <v>735</v>
      </c>
      <c r="K4" s="507" cm="1">
        <f t="array" ref="K4">_xlfn.IFS(L4="Asistente", 21, L4="Asociado", 16, L4="Titular", 22)</f>
        <v>16</v>
      </c>
      <c r="L4" s="182" t="s">
        <v>10</v>
      </c>
      <c r="M4" s="182" t="s">
        <v>1043</v>
      </c>
      <c r="N4" s="511"/>
    </row>
    <row r="5" spans="1:14" ht="36" customHeight="1" x14ac:dyDescent="0.2">
      <c r="A5" s="88">
        <v>2026</v>
      </c>
      <c r="B5" s="88" t="s">
        <v>93</v>
      </c>
      <c r="C5" s="502">
        <v>3</v>
      </c>
      <c r="D5" s="512">
        <v>1094901176</v>
      </c>
      <c r="E5" s="513" t="s">
        <v>646</v>
      </c>
      <c r="F5" s="510" t="s">
        <v>8</v>
      </c>
      <c r="G5" s="514" t="s">
        <v>74</v>
      </c>
      <c r="H5" s="507" t="s">
        <v>29</v>
      </c>
      <c r="I5" s="506" t="s">
        <v>1041</v>
      </c>
      <c r="J5" s="183" t="s">
        <v>1042</v>
      </c>
      <c r="K5" s="507" cm="1">
        <f t="array" ref="K5">_xlfn.IFS(L5="Asistente", 21, L5="Asociado", 16, L5="Titular", 22)</f>
        <v>16</v>
      </c>
      <c r="L5" s="182" t="s">
        <v>10</v>
      </c>
      <c r="M5" s="182" t="s">
        <v>1043</v>
      </c>
      <c r="N5" s="511"/>
    </row>
    <row r="6" spans="1:14" ht="51" x14ac:dyDescent="0.2">
      <c r="A6" s="88">
        <v>2026</v>
      </c>
      <c r="B6" s="88" t="s">
        <v>93</v>
      </c>
      <c r="C6" s="502">
        <v>4</v>
      </c>
      <c r="D6" s="512">
        <v>1094885534</v>
      </c>
      <c r="E6" s="513" t="s">
        <v>1039</v>
      </c>
      <c r="F6" s="510" t="s">
        <v>8</v>
      </c>
      <c r="G6" s="514" t="s">
        <v>27</v>
      </c>
      <c r="H6" s="507" t="s">
        <v>24</v>
      </c>
      <c r="I6" s="506" t="s">
        <v>1041</v>
      </c>
      <c r="J6" s="183" t="s">
        <v>1042</v>
      </c>
      <c r="K6" s="507" cm="1">
        <f t="array" ref="K6">_xlfn.IFS(L6="Asistente", 21, L6="Asociado", 16, L6="Titular", 22)</f>
        <v>16</v>
      </c>
      <c r="L6" s="182" t="s">
        <v>10</v>
      </c>
      <c r="M6" s="182" t="s">
        <v>1043</v>
      </c>
      <c r="N6" s="511"/>
    </row>
    <row r="7" spans="1:14" ht="51" x14ac:dyDescent="0.2">
      <c r="A7" s="88">
        <v>2026</v>
      </c>
      <c r="B7" s="88" t="s">
        <v>93</v>
      </c>
      <c r="C7" s="502">
        <v>5</v>
      </c>
      <c r="D7" s="512">
        <v>1094882594</v>
      </c>
      <c r="E7" s="513" t="s">
        <v>1040</v>
      </c>
      <c r="F7" s="510" t="s">
        <v>8</v>
      </c>
      <c r="G7" s="514" t="s">
        <v>27</v>
      </c>
      <c r="H7" s="507" t="s">
        <v>24</v>
      </c>
      <c r="I7" s="506" t="s">
        <v>1041</v>
      </c>
      <c r="J7" s="183" t="s">
        <v>1042</v>
      </c>
      <c r="K7" s="507" cm="1">
        <f t="array" ref="K7">_xlfn.IFS(L7="Asistente", 21, L7="Asociado", 16, L7="Titular", 22)</f>
        <v>16</v>
      </c>
      <c r="L7" s="182" t="s">
        <v>10</v>
      </c>
      <c r="M7" s="182" t="s">
        <v>1043</v>
      </c>
      <c r="N7" s="511"/>
    </row>
    <row r="8" spans="1:14" ht="45" customHeight="1" x14ac:dyDescent="0.2">
      <c r="A8" s="88">
        <v>2026</v>
      </c>
      <c r="B8" s="88" t="s">
        <v>93</v>
      </c>
      <c r="C8" s="502">
        <v>6</v>
      </c>
      <c r="D8" s="515">
        <v>18399636</v>
      </c>
      <c r="E8" s="513" t="s">
        <v>1044</v>
      </c>
      <c r="F8" s="510" t="s">
        <v>8</v>
      </c>
      <c r="G8" s="514" t="s">
        <v>74</v>
      </c>
      <c r="H8" s="507" t="s">
        <v>29</v>
      </c>
      <c r="I8" s="506" t="s">
        <v>1041</v>
      </c>
      <c r="J8" s="183" t="s">
        <v>1042</v>
      </c>
      <c r="K8" s="507" cm="1">
        <f t="array" ref="K8">_xlfn.IFS(L8="Asistente", 21, L8="Asociado", 16, L8="Titular", 22)</f>
        <v>22</v>
      </c>
      <c r="L8" s="182" t="s">
        <v>11</v>
      </c>
      <c r="M8" s="182" t="s">
        <v>1043</v>
      </c>
      <c r="N8" s="511"/>
    </row>
    <row r="9" spans="1:14" x14ac:dyDescent="0.2">
      <c r="A9" s="516"/>
      <c r="B9" s="516"/>
      <c r="C9" s="516"/>
      <c r="D9" s="517"/>
      <c r="E9" s="518"/>
      <c r="F9" s="519"/>
      <c r="G9" s="519"/>
      <c r="H9" s="519"/>
      <c r="I9" s="520"/>
      <c r="J9" s="197"/>
      <c r="K9" s="521"/>
      <c r="L9" s="519"/>
      <c r="M9" s="519"/>
      <c r="N9" s="522"/>
    </row>
    <row r="10" spans="1:14" ht="15" customHeight="1" x14ac:dyDescent="0.2">
      <c r="A10" s="164"/>
      <c r="C10" s="164"/>
      <c r="D10" s="422"/>
      <c r="H10" s="450" t="s">
        <v>79</v>
      </c>
      <c r="I10" s="450"/>
      <c r="J10" s="450"/>
      <c r="K10" s="496">
        <f>SUM(K3:K9)</f>
        <v>102</v>
      </c>
    </row>
    <row r="11" spans="1:14" ht="15" customHeight="1" x14ac:dyDescent="0.2">
      <c r="A11" s="164"/>
      <c r="C11" s="164"/>
      <c r="D11" s="422"/>
    </row>
    <row r="12" spans="1:14" ht="15" customHeight="1" x14ac:dyDescent="0.2">
      <c r="A12" s="173"/>
      <c r="B12" s="173"/>
      <c r="C12" s="437"/>
      <c r="D12" s="437"/>
      <c r="E12" s="437"/>
      <c r="F12" s="437"/>
      <c r="G12" s="437"/>
      <c r="H12" s="437"/>
      <c r="I12" s="437"/>
      <c r="J12" s="437"/>
      <c r="K12" s="437"/>
      <c r="L12" s="173"/>
    </row>
    <row r="13" spans="1:14" ht="15" customHeight="1" x14ac:dyDescent="0.2">
      <c r="B13" s="173"/>
      <c r="C13" s="437" t="s">
        <v>12</v>
      </c>
      <c r="D13" s="437"/>
      <c r="E13" s="437"/>
      <c r="F13" s="437"/>
      <c r="I13" s="437" t="s">
        <v>13</v>
      </c>
      <c r="J13" s="437"/>
      <c r="K13" s="437"/>
      <c r="L13" s="437"/>
    </row>
    <row r="14" spans="1:14" x14ac:dyDescent="0.2">
      <c r="B14" s="173"/>
      <c r="C14" s="438" t="s">
        <v>14</v>
      </c>
      <c r="D14" s="438"/>
      <c r="E14" s="438"/>
      <c r="F14" s="438"/>
      <c r="I14" s="438" t="s">
        <v>18</v>
      </c>
      <c r="J14" s="438"/>
      <c r="K14" s="438"/>
      <c r="L14" s="438"/>
    </row>
    <row r="15" spans="1:14" x14ac:dyDescent="0.2">
      <c r="B15" s="173"/>
      <c r="C15" s="439" t="s">
        <v>19</v>
      </c>
      <c r="D15" s="439"/>
      <c r="E15" s="439"/>
      <c r="F15" s="439"/>
      <c r="I15" s="439" t="s">
        <v>20</v>
      </c>
      <c r="J15" s="439"/>
      <c r="K15" s="439"/>
      <c r="L15" s="439"/>
    </row>
    <row r="16" spans="1:14" x14ac:dyDescent="0.2">
      <c r="B16" s="497"/>
      <c r="C16" s="439" t="s">
        <v>15</v>
      </c>
      <c r="D16" s="439"/>
      <c r="E16" s="439"/>
      <c r="F16" s="439"/>
      <c r="I16" s="449" t="s">
        <v>16</v>
      </c>
      <c r="J16" s="449"/>
      <c r="K16" s="449"/>
      <c r="L16" s="449"/>
    </row>
  </sheetData>
  <mergeCells count="12">
    <mergeCell ref="C14:F14"/>
    <mergeCell ref="I14:L14"/>
    <mergeCell ref="C15:F15"/>
    <mergeCell ref="I15:L15"/>
    <mergeCell ref="C16:F16"/>
    <mergeCell ref="I16:L16"/>
    <mergeCell ref="E1:L1"/>
    <mergeCell ref="C12:F12"/>
    <mergeCell ref="G12:K12"/>
    <mergeCell ref="C13:F13"/>
    <mergeCell ref="I13:L13"/>
    <mergeCell ref="H10:J10"/>
  </mergeCells>
  <printOptions horizontalCentered="1"/>
  <pageMargins left="0.70866141732283472" right="0.70866141732283472" top="0.74803149606299213" bottom="0.74803149606299213" header="0.31496062992125984" footer="0.31496062992125984"/>
  <pageSetup paperSize="258" scale="75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6E025-A6B7-4759-B155-6F0432A7F17E}">
  <sheetPr>
    <tabColor theme="6" tint="0.39997558519241921"/>
  </sheetPr>
  <dimension ref="A1:AA43"/>
  <sheetViews>
    <sheetView topLeftCell="A25" zoomScale="90" zoomScaleNormal="90" workbookViewId="0">
      <selection activeCell="D41" sqref="D41"/>
    </sheetView>
  </sheetViews>
  <sheetFormatPr baseColWidth="10" defaultRowHeight="15" x14ac:dyDescent="0.25"/>
  <cols>
    <col min="1" max="2" width="6.5703125" customWidth="1"/>
    <col min="3" max="3" width="5.7109375" customWidth="1"/>
    <col min="4" max="4" width="20.7109375" customWidth="1"/>
    <col min="5" max="5" width="10.85546875" style="12" customWidth="1"/>
    <col min="6" max="6" width="9.140625" style="12" bestFit="1" customWidth="1"/>
    <col min="7" max="7" width="9.28515625" style="12" bestFit="1" customWidth="1"/>
    <col min="8" max="8" width="9.7109375" style="12" customWidth="1"/>
    <col min="9" max="9" width="12.42578125" bestFit="1" customWidth="1"/>
    <col min="10" max="10" width="12" customWidth="1"/>
    <col min="11" max="11" width="10.28515625" style="12" customWidth="1"/>
    <col min="12" max="12" width="9.42578125" style="12" customWidth="1"/>
    <col min="13" max="13" width="11" customWidth="1"/>
    <col min="14" max="14" width="8.85546875" bestFit="1" customWidth="1"/>
    <col min="15" max="15" width="9.85546875" bestFit="1" customWidth="1"/>
    <col min="16" max="16" width="10.28515625" bestFit="1" customWidth="1"/>
    <col min="18" max="18" width="15.42578125" customWidth="1"/>
    <col min="19" max="19" width="9.85546875" customWidth="1"/>
    <col min="21" max="21" width="7.42578125" customWidth="1"/>
    <col min="23" max="23" width="10.7109375" customWidth="1"/>
    <col min="24" max="24" width="8.5703125" customWidth="1"/>
    <col min="25" max="25" width="14.7109375" customWidth="1"/>
    <col min="27" max="27" width="19.85546875" customWidth="1"/>
  </cols>
  <sheetData>
    <row r="1" spans="1:27" ht="72" customHeight="1" x14ac:dyDescent="0.25"/>
    <row r="2" spans="1:27" s="16" customFormat="1" ht="52.5" customHeight="1" x14ac:dyDescent="0.2">
      <c r="A2" s="14" t="s">
        <v>6</v>
      </c>
      <c r="B2" s="14" t="s">
        <v>1</v>
      </c>
      <c r="C2" s="15" t="s">
        <v>5</v>
      </c>
      <c r="D2" s="15" t="s">
        <v>33</v>
      </c>
      <c r="E2" s="15" t="s">
        <v>34</v>
      </c>
      <c r="F2" s="15" t="s">
        <v>35</v>
      </c>
      <c r="G2" s="15" t="s">
        <v>36</v>
      </c>
      <c r="H2" s="15" t="s">
        <v>37</v>
      </c>
      <c r="I2" s="15" t="s">
        <v>38</v>
      </c>
      <c r="J2" s="15" t="s">
        <v>39</v>
      </c>
      <c r="K2" s="15" t="s">
        <v>40</v>
      </c>
      <c r="L2" s="15" t="s">
        <v>525</v>
      </c>
      <c r="M2" s="15" t="s">
        <v>41</v>
      </c>
      <c r="N2" s="434" t="s">
        <v>42</v>
      </c>
      <c r="O2" s="435"/>
      <c r="P2" s="436"/>
      <c r="Q2" s="15" t="s">
        <v>43</v>
      </c>
      <c r="R2" s="15" t="s">
        <v>44</v>
      </c>
      <c r="S2" s="15" t="s">
        <v>4</v>
      </c>
      <c r="T2" s="15" t="s">
        <v>45</v>
      </c>
      <c r="U2" s="15" t="s">
        <v>3</v>
      </c>
      <c r="V2" s="15" t="s">
        <v>32</v>
      </c>
      <c r="W2" s="15" t="s">
        <v>2</v>
      </c>
      <c r="X2" s="15" t="s">
        <v>46</v>
      </c>
      <c r="Y2" s="15" t="s">
        <v>47</v>
      </c>
      <c r="Z2" s="15" t="s">
        <v>635</v>
      </c>
      <c r="AA2" s="15" t="s">
        <v>31</v>
      </c>
    </row>
    <row r="3" spans="1:27" s="16" customFormat="1" ht="12.75" x14ac:dyDescent="0.2">
      <c r="A3" s="17"/>
      <c r="B3" s="17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9" t="s">
        <v>48</v>
      </c>
      <c r="O3" s="19" t="s">
        <v>49</v>
      </c>
      <c r="P3" s="19" t="s">
        <v>50</v>
      </c>
      <c r="Q3" s="18"/>
      <c r="R3" s="18"/>
      <c r="S3" s="18"/>
      <c r="T3" s="18"/>
      <c r="U3" s="18"/>
      <c r="V3" s="18"/>
      <c r="W3" s="18"/>
      <c r="X3" s="18"/>
      <c r="Y3" s="18"/>
      <c r="Z3" s="18"/>
      <c r="AA3" s="20"/>
    </row>
    <row r="4" spans="1:27" s="16" customFormat="1" ht="86.25" customHeight="1" x14ac:dyDescent="0.2">
      <c r="A4" s="292">
        <v>2026</v>
      </c>
      <c r="B4" s="292" t="s">
        <v>82</v>
      </c>
      <c r="C4" s="292">
        <v>1</v>
      </c>
      <c r="D4" s="242" t="s">
        <v>671</v>
      </c>
      <c r="E4" s="242" t="s">
        <v>51</v>
      </c>
      <c r="F4" s="242" t="s">
        <v>672</v>
      </c>
      <c r="G4" s="242" t="s">
        <v>673</v>
      </c>
      <c r="H4" s="292" t="s">
        <v>674</v>
      </c>
      <c r="I4" s="242" t="s">
        <v>675</v>
      </c>
      <c r="J4" s="293" t="s">
        <v>676</v>
      </c>
      <c r="K4" s="243" t="s">
        <v>531</v>
      </c>
      <c r="L4" s="243">
        <v>3</v>
      </c>
      <c r="M4" s="242" t="s">
        <v>677</v>
      </c>
      <c r="N4" s="294">
        <v>45666</v>
      </c>
      <c r="O4" s="294">
        <v>45803</v>
      </c>
      <c r="P4" s="294">
        <v>45952</v>
      </c>
      <c r="Q4" s="242">
        <v>89007517</v>
      </c>
      <c r="R4" s="243" t="s">
        <v>629</v>
      </c>
      <c r="S4" s="242" t="s">
        <v>21</v>
      </c>
      <c r="T4" s="242" t="s">
        <v>10</v>
      </c>
      <c r="U4" s="242" t="s">
        <v>8</v>
      </c>
      <c r="V4" s="295" t="s">
        <v>81</v>
      </c>
      <c r="W4" s="295" t="s">
        <v>29</v>
      </c>
      <c r="X4" s="296">
        <f>IF(OR(K4="", L4=""), "", IF(K4="A1", 15, IF(K4="A2", 12, IF(K4="B", 8, IF(K4="C", 3, 0)))) / IF(L4&lt;=3, 1, IF(L4&lt;=5, 2, L4/2)))</f>
        <v>8</v>
      </c>
      <c r="Y4" s="297" t="s">
        <v>9</v>
      </c>
      <c r="Z4" s="183" t="s">
        <v>1043</v>
      </c>
      <c r="AA4" s="242"/>
    </row>
    <row r="5" spans="1:27" s="16" customFormat="1" ht="25.5" x14ac:dyDescent="0.2">
      <c r="A5" s="292">
        <v>2026</v>
      </c>
      <c r="B5" s="292" t="s">
        <v>82</v>
      </c>
      <c r="C5" s="292">
        <v>1</v>
      </c>
      <c r="D5" s="298"/>
      <c r="E5" s="242"/>
      <c r="F5" s="242"/>
      <c r="G5" s="242"/>
      <c r="H5" s="292"/>
      <c r="I5" s="242"/>
      <c r="J5" s="299"/>
      <c r="K5" s="243"/>
      <c r="L5" s="243"/>
      <c r="M5" s="242"/>
      <c r="N5" s="294"/>
      <c r="O5" s="294"/>
      <c r="P5" s="294"/>
      <c r="Q5" s="292"/>
      <c r="R5" s="242" t="s">
        <v>678</v>
      </c>
      <c r="S5" s="242"/>
      <c r="T5" s="242"/>
      <c r="U5" s="242"/>
      <c r="V5" s="242"/>
      <c r="W5" s="295"/>
      <c r="X5" s="296" t="str">
        <f t="shared" ref="X5:X34" si="0">IF(OR(K5="", L5=""), "", IF(K5="A1", 15, IF(K5="A2", 12, IF(K5="B", 8, IF(K5="C", 3, 0)))) / IF(L5&lt;=3, 1, IF(L5&lt;=5, 2, L5/2)))</f>
        <v/>
      </c>
      <c r="Y5" s="297" t="s">
        <v>9</v>
      </c>
      <c r="Z5" s="183"/>
      <c r="AA5" s="242"/>
    </row>
    <row r="6" spans="1:27" s="16" customFormat="1" ht="25.5" x14ac:dyDescent="0.2">
      <c r="A6" s="292">
        <v>2026</v>
      </c>
      <c r="B6" s="292" t="s">
        <v>82</v>
      </c>
      <c r="C6" s="292">
        <v>1</v>
      </c>
      <c r="D6" s="298"/>
      <c r="E6" s="242"/>
      <c r="F6" s="242"/>
      <c r="G6" s="242"/>
      <c r="H6" s="292"/>
      <c r="I6" s="242"/>
      <c r="J6" s="299"/>
      <c r="K6" s="243"/>
      <c r="L6" s="243"/>
      <c r="M6" s="242"/>
      <c r="N6" s="294"/>
      <c r="O6" s="294"/>
      <c r="P6" s="294"/>
      <c r="Q6" s="292"/>
      <c r="R6" s="242" t="s">
        <v>679</v>
      </c>
      <c r="S6" s="242"/>
      <c r="T6" s="242"/>
      <c r="U6" s="242"/>
      <c r="V6" s="242"/>
      <c r="W6" s="295"/>
      <c r="X6" s="296" t="str">
        <f t="shared" si="0"/>
        <v/>
      </c>
      <c r="Y6" s="297" t="s">
        <v>9</v>
      </c>
      <c r="Z6" s="183"/>
      <c r="AA6" s="242"/>
    </row>
    <row r="7" spans="1:27" s="16" customFormat="1" ht="89.25" x14ac:dyDescent="0.2">
      <c r="A7" s="292">
        <v>2026</v>
      </c>
      <c r="B7" s="292" t="s">
        <v>82</v>
      </c>
      <c r="C7" s="292">
        <v>2</v>
      </c>
      <c r="D7" s="298" t="s">
        <v>680</v>
      </c>
      <c r="E7" s="242" t="s">
        <v>51</v>
      </c>
      <c r="F7" s="242" t="s">
        <v>681</v>
      </c>
      <c r="G7" s="242" t="s">
        <v>673</v>
      </c>
      <c r="H7" s="292" t="s">
        <v>683</v>
      </c>
      <c r="I7" s="242" t="s">
        <v>682</v>
      </c>
      <c r="J7" s="293" t="s">
        <v>685</v>
      </c>
      <c r="K7" s="243" t="s">
        <v>531</v>
      </c>
      <c r="L7" s="243">
        <v>2</v>
      </c>
      <c r="M7" s="242" t="s">
        <v>684</v>
      </c>
      <c r="N7" s="294">
        <v>45476</v>
      </c>
      <c r="O7" s="294">
        <v>45633</v>
      </c>
      <c r="P7" s="294">
        <v>45848</v>
      </c>
      <c r="Q7" s="242">
        <v>1102042502</v>
      </c>
      <c r="R7" s="243" t="s">
        <v>687</v>
      </c>
      <c r="S7" s="242" t="s">
        <v>21</v>
      </c>
      <c r="T7" s="242" t="s">
        <v>22</v>
      </c>
      <c r="U7" s="242" t="s">
        <v>8</v>
      </c>
      <c r="V7" s="295" t="s">
        <v>688</v>
      </c>
      <c r="W7" s="295" t="s">
        <v>24</v>
      </c>
      <c r="X7" s="296">
        <f t="shared" si="0"/>
        <v>8</v>
      </c>
      <c r="Y7" s="297" t="s">
        <v>9</v>
      </c>
      <c r="Z7" s="183" t="s">
        <v>1043</v>
      </c>
      <c r="AA7" s="242"/>
    </row>
    <row r="8" spans="1:27" s="16" customFormat="1" ht="25.5" x14ac:dyDescent="0.2">
      <c r="A8" s="292">
        <v>2026</v>
      </c>
      <c r="B8" s="292" t="s">
        <v>82</v>
      </c>
      <c r="C8" s="292">
        <v>2</v>
      </c>
      <c r="D8" s="298"/>
      <c r="E8" s="242"/>
      <c r="F8" s="242"/>
      <c r="G8" s="242"/>
      <c r="H8" s="292"/>
      <c r="I8" s="242"/>
      <c r="J8" s="299"/>
      <c r="K8" s="243"/>
      <c r="L8" s="243"/>
      <c r="M8" s="242"/>
      <c r="N8" s="294"/>
      <c r="O8" s="294"/>
      <c r="P8" s="294"/>
      <c r="Q8" s="292"/>
      <c r="R8" s="242" t="s">
        <v>686</v>
      </c>
      <c r="S8" s="242"/>
      <c r="T8" s="242"/>
      <c r="U8" s="242"/>
      <c r="V8" s="242"/>
      <c r="W8" s="295"/>
      <c r="X8" s="296" t="str">
        <f>IF(OR(K8="", L8=""), "", IF(K8="A1", 15, IF(K8="A2", 12, IF(K8="B", 8, IF(K8="C", 3, 0)))) / IF(L8&lt;=3, 1, IF(L8&lt;=5, 2, L8/2)))</f>
        <v/>
      </c>
      <c r="Y8" s="297" t="s">
        <v>9</v>
      </c>
      <c r="Z8" s="183"/>
      <c r="AA8" s="242"/>
    </row>
    <row r="9" spans="1:27" s="16" customFormat="1" ht="89.25" x14ac:dyDescent="0.2">
      <c r="A9" s="292">
        <v>2026</v>
      </c>
      <c r="B9" s="292" t="s">
        <v>82</v>
      </c>
      <c r="C9" s="292">
        <v>3</v>
      </c>
      <c r="D9" s="298" t="s">
        <v>689</v>
      </c>
      <c r="E9" s="242" t="s">
        <v>51</v>
      </c>
      <c r="F9" s="242" t="s">
        <v>672</v>
      </c>
      <c r="G9" s="242" t="s">
        <v>673</v>
      </c>
      <c r="H9" s="292" t="s">
        <v>691</v>
      </c>
      <c r="I9" s="242" t="s">
        <v>690</v>
      </c>
      <c r="J9" s="293" t="s">
        <v>693</v>
      </c>
      <c r="K9" s="243" t="s">
        <v>694</v>
      </c>
      <c r="L9" s="243">
        <v>3</v>
      </c>
      <c r="M9" s="242" t="s">
        <v>692</v>
      </c>
      <c r="N9" s="294">
        <v>45464</v>
      </c>
      <c r="O9" s="294">
        <v>45730</v>
      </c>
      <c r="P9" s="294">
        <v>45765</v>
      </c>
      <c r="Q9" s="292">
        <v>89000647</v>
      </c>
      <c r="R9" s="243" t="s">
        <v>695</v>
      </c>
      <c r="S9" s="242" t="s">
        <v>28</v>
      </c>
      <c r="T9" s="242" t="s">
        <v>22</v>
      </c>
      <c r="U9" s="242" t="s">
        <v>8</v>
      </c>
      <c r="V9" s="242" t="s">
        <v>250</v>
      </c>
      <c r="W9" s="295" t="s">
        <v>66</v>
      </c>
      <c r="X9" s="296">
        <f t="shared" si="0"/>
        <v>3</v>
      </c>
      <c r="Y9" s="297" t="s">
        <v>9</v>
      </c>
      <c r="Z9" s="183" t="s">
        <v>1043</v>
      </c>
      <c r="AA9" s="242"/>
    </row>
    <row r="10" spans="1:27" s="16" customFormat="1" ht="89.25" x14ac:dyDescent="0.2">
      <c r="A10" s="292">
        <v>2026</v>
      </c>
      <c r="B10" s="292" t="s">
        <v>82</v>
      </c>
      <c r="C10" s="292">
        <v>3</v>
      </c>
      <c r="D10" s="298" t="s">
        <v>689</v>
      </c>
      <c r="E10" s="242" t="s">
        <v>51</v>
      </c>
      <c r="F10" s="242" t="s">
        <v>672</v>
      </c>
      <c r="G10" s="242" t="s">
        <v>673</v>
      </c>
      <c r="H10" s="292" t="s">
        <v>691</v>
      </c>
      <c r="I10" s="242" t="s">
        <v>690</v>
      </c>
      <c r="J10" s="293" t="s">
        <v>693</v>
      </c>
      <c r="K10" s="243" t="s">
        <v>694</v>
      </c>
      <c r="L10" s="243">
        <v>3</v>
      </c>
      <c r="M10" s="242" t="s">
        <v>692</v>
      </c>
      <c r="N10" s="294">
        <v>45464</v>
      </c>
      <c r="O10" s="294">
        <v>45730</v>
      </c>
      <c r="P10" s="294">
        <v>45765</v>
      </c>
      <c r="Q10" s="292">
        <v>89007946</v>
      </c>
      <c r="R10" s="243" t="s">
        <v>574</v>
      </c>
      <c r="S10" s="242" t="s">
        <v>28</v>
      </c>
      <c r="T10" s="242" t="s">
        <v>22</v>
      </c>
      <c r="U10" s="242" t="s">
        <v>8</v>
      </c>
      <c r="V10" s="242" t="s">
        <v>522</v>
      </c>
      <c r="W10" s="295" t="s">
        <v>66</v>
      </c>
      <c r="X10" s="296">
        <f t="shared" si="0"/>
        <v>3</v>
      </c>
      <c r="Y10" s="297" t="s">
        <v>9</v>
      </c>
      <c r="Z10" s="183" t="s">
        <v>1043</v>
      </c>
      <c r="AA10" s="242"/>
    </row>
    <row r="11" spans="1:27" s="16" customFormat="1" ht="25.5" x14ac:dyDescent="0.2">
      <c r="A11" s="292">
        <v>2026</v>
      </c>
      <c r="B11" s="292" t="s">
        <v>82</v>
      </c>
      <c r="C11" s="292">
        <v>3</v>
      </c>
      <c r="D11" s="298"/>
      <c r="E11" s="242"/>
      <c r="F11" s="242"/>
      <c r="G11" s="242"/>
      <c r="H11" s="292"/>
      <c r="I11" s="242"/>
      <c r="J11" s="299"/>
      <c r="K11" s="243"/>
      <c r="L11" s="243"/>
      <c r="M11" s="242"/>
      <c r="N11" s="294"/>
      <c r="O11" s="294"/>
      <c r="P11" s="294"/>
      <c r="Q11" s="292"/>
      <c r="R11" s="242" t="s">
        <v>713</v>
      </c>
      <c r="S11" s="242"/>
      <c r="T11" s="242"/>
      <c r="U11" s="242"/>
      <c r="V11" s="242"/>
      <c r="W11" s="295"/>
      <c r="X11" s="296" t="str">
        <f t="shared" si="0"/>
        <v/>
      </c>
      <c r="Y11" s="297" t="s">
        <v>9</v>
      </c>
      <c r="Z11" s="183"/>
      <c r="AA11" s="242"/>
    </row>
    <row r="12" spans="1:27" s="16" customFormat="1" ht="89.25" x14ac:dyDescent="0.2">
      <c r="A12" s="292">
        <v>2026</v>
      </c>
      <c r="B12" s="292" t="s">
        <v>82</v>
      </c>
      <c r="C12" s="292">
        <v>4</v>
      </c>
      <c r="D12" s="298" t="s">
        <v>696</v>
      </c>
      <c r="E12" s="242" t="s">
        <v>51</v>
      </c>
      <c r="F12" s="242" t="s">
        <v>672</v>
      </c>
      <c r="G12" s="242" t="s">
        <v>673</v>
      </c>
      <c r="H12" s="292" t="s">
        <v>698</v>
      </c>
      <c r="I12" s="242" t="s">
        <v>697</v>
      </c>
      <c r="J12" s="293" t="s">
        <v>699</v>
      </c>
      <c r="K12" s="243" t="s">
        <v>531</v>
      </c>
      <c r="L12" s="243">
        <v>3</v>
      </c>
      <c r="M12" s="242" t="s">
        <v>700</v>
      </c>
      <c r="N12" s="294">
        <v>45566</v>
      </c>
      <c r="O12" s="294">
        <v>45901</v>
      </c>
      <c r="P12" s="294">
        <v>45953</v>
      </c>
      <c r="Q12" s="292">
        <v>89007946</v>
      </c>
      <c r="R12" s="243" t="s">
        <v>574</v>
      </c>
      <c r="S12" s="242" t="s">
        <v>28</v>
      </c>
      <c r="T12" s="242" t="s">
        <v>22</v>
      </c>
      <c r="U12" s="242" t="s">
        <v>8</v>
      </c>
      <c r="V12" s="242" t="s">
        <v>522</v>
      </c>
      <c r="W12" s="295" t="s">
        <v>66</v>
      </c>
      <c r="X12" s="296">
        <f t="shared" si="0"/>
        <v>8</v>
      </c>
      <c r="Y12" s="297" t="s">
        <v>9</v>
      </c>
      <c r="Z12" s="183" t="s">
        <v>1043</v>
      </c>
      <c r="AA12" s="242"/>
    </row>
    <row r="13" spans="1:27" s="16" customFormat="1" ht="89.25" x14ac:dyDescent="0.2">
      <c r="A13" s="292">
        <v>2026</v>
      </c>
      <c r="B13" s="292" t="s">
        <v>82</v>
      </c>
      <c r="C13" s="292">
        <v>4</v>
      </c>
      <c r="D13" s="298" t="s">
        <v>696</v>
      </c>
      <c r="E13" s="242" t="s">
        <v>51</v>
      </c>
      <c r="F13" s="242" t="s">
        <v>672</v>
      </c>
      <c r="G13" s="242" t="s">
        <v>673</v>
      </c>
      <c r="H13" s="292" t="s">
        <v>698</v>
      </c>
      <c r="I13" s="242" t="s">
        <v>697</v>
      </c>
      <c r="J13" s="293" t="s">
        <v>699</v>
      </c>
      <c r="K13" s="243" t="s">
        <v>531</v>
      </c>
      <c r="L13" s="243">
        <v>3</v>
      </c>
      <c r="M13" s="242" t="s">
        <v>700</v>
      </c>
      <c r="N13" s="294">
        <v>45566</v>
      </c>
      <c r="O13" s="294">
        <v>45901</v>
      </c>
      <c r="P13" s="294">
        <v>45953</v>
      </c>
      <c r="Q13" s="292">
        <v>41916725</v>
      </c>
      <c r="R13" s="243" t="s">
        <v>724</v>
      </c>
      <c r="S13" s="242" t="s">
        <v>28</v>
      </c>
      <c r="T13" s="242" t="s">
        <v>62</v>
      </c>
      <c r="U13" s="242" t="s">
        <v>8</v>
      </c>
      <c r="V13" s="242" t="s">
        <v>523</v>
      </c>
      <c r="W13" s="295" t="s">
        <v>66</v>
      </c>
      <c r="X13" s="296">
        <f t="shared" si="0"/>
        <v>8</v>
      </c>
      <c r="Y13" s="297" t="s">
        <v>9</v>
      </c>
      <c r="Z13" s="183" t="s">
        <v>1043</v>
      </c>
      <c r="AA13" s="242"/>
    </row>
    <row r="14" spans="1:27" s="16" customFormat="1" ht="25.5" x14ac:dyDescent="0.2">
      <c r="A14" s="292">
        <v>2026</v>
      </c>
      <c r="B14" s="292" t="s">
        <v>82</v>
      </c>
      <c r="C14" s="292">
        <v>4</v>
      </c>
      <c r="D14" s="298"/>
      <c r="E14" s="242"/>
      <c r="F14" s="242"/>
      <c r="G14" s="242"/>
      <c r="H14" s="292"/>
      <c r="I14" s="242"/>
      <c r="J14" s="299"/>
      <c r="K14" s="243"/>
      <c r="L14" s="243"/>
      <c r="M14" s="242"/>
      <c r="N14" s="294"/>
      <c r="O14" s="294"/>
      <c r="P14" s="294"/>
      <c r="Q14" s="292"/>
      <c r="R14" s="242" t="s">
        <v>701</v>
      </c>
      <c r="S14" s="242"/>
      <c r="T14" s="242"/>
      <c r="U14" s="242"/>
      <c r="V14" s="242"/>
      <c r="W14" s="295"/>
      <c r="X14" s="296" t="str">
        <f t="shared" si="0"/>
        <v/>
      </c>
      <c r="Y14" s="297" t="s">
        <v>9</v>
      </c>
      <c r="Z14" s="183"/>
      <c r="AA14" s="242"/>
    </row>
    <row r="15" spans="1:27" s="16" customFormat="1" ht="89.25" x14ac:dyDescent="0.2">
      <c r="A15" s="292">
        <v>2026</v>
      </c>
      <c r="B15" s="292" t="s">
        <v>82</v>
      </c>
      <c r="C15" s="292">
        <v>5</v>
      </c>
      <c r="D15" s="298" t="s">
        <v>702</v>
      </c>
      <c r="E15" s="242" t="s">
        <v>51</v>
      </c>
      <c r="F15" s="242" t="s">
        <v>672</v>
      </c>
      <c r="G15" s="242" t="s">
        <v>673</v>
      </c>
      <c r="H15" s="292" t="s">
        <v>705</v>
      </c>
      <c r="I15" s="242" t="s">
        <v>703</v>
      </c>
      <c r="J15" s="293" t="s">
        <v>706</v>
      </c>
      <c r="K15" s="243" t="s">
        <v>531</v>
      </c>
      <c r="L15" s="243">
        <v>3</v>
      </c>
      <c r="M15" s="242" t="s">
        <v>704</v>
      </c>
      <c r="N15" s="294">
        <v>45561</v>
      </c>
      <c r="O15" s="294">
        <v>45669</v>
      </c>
      <c r="P15" s="294">
        <v>45825</v>
      </c>
      <c r="Q15" s="292">
        <v>89007291</v>
      </c>
      <c r="R15" s="243" t="s">
        <v>707</v>
      </c>
      <c r="S15" s="242" t="s">
        <v>21</v>
      </c>
      <c r="T15" s="242" t="s">
        <v>10</v>
      </c>
      <c r="U15" s="242" t="s">
        <v>8</v>
      </c>
      <c r="V15" s="37" t="s">
        <v>473</v>
      </c>
      <c r="W15" s="37" t="s">
        <v>59</v>
      </c>
      <c r="X15" s="296">
        <f t="shared" si="0"/>
        <v>8</v>
      </c>
      <c r="Y15" s="297" t="s">
        <v>9</v>
      </c>
      <c r="Z15" s="183" t="s">
        <v>1043</v>
      </c>
      <c r="AA15" s="242"/>
    </row>
    <row r="16" spans="1:27" s="16" customFormat="1" ht="25.5" x14ac:dyDescent="0.2">
      <c r="A16" s="292">
        <v>2026</v>
      </c>
      <c r="B16" s="292" t="s">
        <v>82</v>
      </c>
      <c r="C16" s="292">
        <v>5</v>
      </c>
      <c r="D16" s="298"/>
      <c r="E16" s="242"/>
      <c r="F16" s="242"/>
      <c r="G16" s="242"/>
      <c r="H16" s="292"/>
      <c r="I16" s="242"/>
      <c r="J16" s="299"/>
      <c r="K16" s="243"/>
      <c r="L16" s="243"/>
      <c r="M16" s="242"/>
      <c r="N16" s="294"/>
      <c r="O16" s="294"/>
      <c r="P16" s="294"/>
      <c r="Q16" s="292"/>
      <c r="R16" s="242" t="s">
        <v>708</v>
      </c>
      <c r="S16" s="242"/>
      <c r="T16" s="242"/>
      <c r="U16" s="242"/>
      <c r="V16" s="242"/>
      <c r="W16" s="295"/>
      <c r="X16" s="296" t="str">
        <f t="shared" si="0"/>
        <v/>
      </c>
      <c r="Y16" s="297" t="s">
        <v>9</v>
      </c>
      <c r="Z16" s="183"/>
      <c r="AA16" s="242"/>
    </row>
    <row r="17" spans="1:27" s="16" customFormat="1" ht="25.5" x14ac:dyDescent="0.2">
      <c r="A17" s="292">
        <v>2026</v>
      </c>
      <c r="B17" s="292" t="s">
        <v>82</v>
      </c>
      <c r="C17" s="292">
        <v>5</v>
      </c>
      <c r="D17" s="298"/>
      <c r="E17" s="242"/>
      <c r="F17" s="242"/>
      <c r="G17" s="242"/>
      <c r="H17" s="292"/>
      <c r="I17" s="242"/>
      <c r="J17" s="299"/>
      <c r="K17" s="243"/>
      <c r="L17" s="243"/>
      <c r="M17" s="242"/>
      <c r="N17" s="294"/>
      <c r="O17" s="294"/>
      <c r="P17" s="294"/>
      <c r="Q17" s="292"/>
      <c r="R17" s="242" t="s">
        <v>709</v>
      </c>
      <c r="S17" s="242"/>
      <c r="T17" s="242"/>
      <c r="U17" s="242"/>
      <c r="V17" s="242"/>
      <c r="W17" s="295"/>
      <c r="X17" s="296" t="str">
        <f t="shared" si="0"/>
        <v/>
      </c>
      <c r="Y17" s="297" t="s">
        <v>9</v>
      </c>
      <c r="Z17" s="183"/>
      <c r="AA17" s="242"/>
    </row>
    <row r="18" spans="1:27" s="16" customFormat="1" ht="89.25" x14ac:dyDescent="0.2">
      <c r="A18" s="292">
        <v>2026</v>
      </c>
      <c r="B18" s="292" t="s">
        <v>82</v>
      </c>
      <c r="C18" s="292">
        <v>6</v>
      </c>
      <c r="D18" s="298" t="s">
        <v>710</v>
      </c>
      <c r="E18" s="242" t="s">
        <v>51</v>
      </c>
      <c r="F18" s="242" t="s">
        <v>672</v>
      </c>
      <c r="G18" s="242" t="s">
        <v>673</v>
      </c>
      <c r="H18" s="292" t="s">
        <v>698</v>
      </c>
      <c r="I18" s="242" t="s">
        <v>697</v>
      </c>
      <c r="J18" s="293" t="s">
        <v>699</v>
      </c>
      <c r="K18" s="243" t="s">
        <v>531</v>
      </c>
      <c r="L18" s="243">
        <v>3</v>
      </c>
      <c r="M18" s="242" t="s">
        <v>700</v>
      </c>
      <c r="N18" s="294">
        <v>44958</v>
      </c>
      <c r="O18" s="294">
        <v>45566</v>
      </c>
      <c r="P18" s="294">
        <v>45768</v>
      </c>
      <c r="Q18" s="292">
        <v>17655304</v>
      </c>
      <c r="R18" s="243" t="s">
        <v>711</v>
      </c>
      <c r="S18" s="242" t="s">
        <v>21</v>
      </c>
      <c r="T18" s="242" t="s">
        <v>11</v>
      </c>
      <c r="U18" s="242" t="s">
        <v>8</v>
      </c>
      <c r="V18" s="300" t="s">
        <v>27</v>
      </c>
      <c r="W18" s="300" t="s">
        <v>24</v>
      </c>
      <c r="X18" s="296">
        <f t="shared" si="0"/>
        <v>8</v>
      </c>
      <c r="Y18" s="297" t="s">
        <v>9</v>
      </c>
      <c r="Z18" s="183" t="s">
        <v>1043</v>
      </c>
      <c r="AA18" s="242"/>
    </row>
    <row r="19" spans="1:27" s="16" customFormat="1" ht="25.5" x14ac:dyDescent="0.2">
      <c r="A19" s="292">
        <v>2026</v>
      </c>
      <c r="B19" s="292" t="s">
        <v>82</v>
      </c>
      <c r="C19" s="292">
        <v>6</v>
      </c>
      <c r="D19" s="298"/>
      <c r="E19" s="242"/>
      <c r="F19" s="242"/>
      <c r="G19" s="242"/>
      <c r="H19" s="292"/>
      <c r="I19" s="242"/>
      <c r="J19" s="299"/>
      <c r="K19" s="243"/>
      <c r="L19" s="243"/>
      <c r="M19" s="242"/>
      <c r="N19" s="294"/>
      <c r="O19" s="294"/>
      <c r="P19" s="294"/>
      <c r="Q19" s="242"/>
      <c r="R19" s="242" t="s">
        <v>712</v>
      </c>
      <c r="S19" s="295"/>
      <c r="T19" s="295"/>
      <c r="U19" s="295"/>
      <c r="V19" s="242"/>
      <c r="W19" s="242"/>
      <c r="X19" s="296" t="str">
        <f t="shared" si="0"/>
        <v/>
      </c>
      <c r="Y19" s="297" t="s">
        <v>9</v>
      </c>
      <c r="Z19" s="183"/>
      <c r="AA19" s="242"/>
    </row>
    <row r="20" spans="1:27" s="16" customFormat="1" ht="25.5" x14ac:dyDescent="0.2">
      <c r="A20" s="292">
        <v>2026</v>
      </c>
      <c r="B20" s="292" t="s">
        <v>82</v>
      </c>
      <c r="C20" s="292">
        <v>6</v>
      </c>
      <c r="D20" s="298"/>
      <c r="E20" s="242"/>
      <c r="F20" s="242"/>
      <c r="G20" s="242"/>
      <c r="H20" s="292"/>
      <c r="I20" s="242"/>
      <c r="J20" s="299"/>
      <c r="K20" s="243"/>
      <c r="L20" s="243"/>
      <c r="M20" s="242"/>
      <c r="N20" s="294"/>
      <c r="O20" s="294"/>
      <c r="P20" s="294"/>
      <c r="Q20" s="242"/>
      <c r="R20" s="242" t="s">
        <v>55</v>
      </c>
      <c r="S20" s="295"/>
      <c r="T20" s="295"/>
      <c r="U20" s="295"/>
      <c r="V20" s="242"/>
      <c r="W20" s="242"/>
      <c r="X20" s="296" t="str">
        <f t="shared" si="0"/>
        <v/>
      </c>
      <c r="Y20" s="297" t="s">
        <v>9</v>
      </c>
      <c r="Z20" s="183"/>
      <c r="AA20" s="242"/>
    </row>
    <row r="21" spans="1:27" s="16" customFormat="1" ht="89.25" x14ac:dyDescent="0.2">
      <c r="A21" s="292">
        <v>2026</v>
      </c>
      <c r="B21" s="292" t="s">
        <v>82</v>
      </c>
      <c r="C21" s="292">
        <v>7</v>
      </c>
      <c r="D21" s="298" t="s">
        <v>717</v>
      </c>
      <c r="E21" s="242" t="s">
        <v>51</v>
      </c>
      <c r="F21" s="242" t="s">
        <v>681</v>
      </c>
      <c r="G21" s="242" t="s">
        <v>673</v>
      </c>
      <c r="H21" s="292" t="s">
        <v>719</v>
      </c>
      <c r="I21" s="242" t="s">
        <v>718</v>
      </c>
      <c r="J21" s="293" t="s">
        <v>720</v>
      </c>
      <c r="K21" s="243" t="s">
        <v>531</v>
      </c>
      <c r="L21" s="243">
        <v>1</v>
      </c>
      <c r="M21" s="242" t="s">
        <v>721</v>
      </c>
      <c r="N21" s="294">
        <v>45600</v>
      </c>
      <c r="O21" s="294">
        <v>45759</v>
      </c>
      <c r="P21" s="294">
        <v>45975</v>
      </c>
      <c r="Q21" s="242">
        <v>42144287</v>
      </c>
      <c r="R21" s="243" t="s">
        <v>722</v>
      </c>
      <c r="S21" s="295" t="s">
        <v>21</v>
      </c>
      <c r="T21" s="295" t="s">
        <v>10</v>
      </c>
      <c r="U21" s="295" t="s">
        <v>8</v>
      </c>
      <c r="V21" s="306" t="s">
        <v>57</v>
      </c>
      <c r="W21" s="300" t="s">
        <v>194</v>
      </c>
      <c r="X21" s="296">
        <f t="shared" si="0"/>
        <v>8</v>
      </c>
      <c r="Y21" s="297" t="s">
        <v>9</v>
      </c>
      <c r="Z21" s="183" t="s">
        <v>1043</v>
      </c>
      <c r="AA21" s="242"/>
    </row>
    <row r="22" spans="1:27" s="16" customFormat="1" ht="114.75" x14ac:dyDescent="0.2">
      <c r="A22" s="292">
        <v>2026</v>
      </c>
      <c r="B22" s="292" t="s">
        <v>82</v>
      </c>
      <c r="C22" s="292">
        <v>8</v>
      </c>
      <c r="D22" s="298" t="s">
        <v>725</v>
      </c>
      <c r="E22" s="242" t="s">
        <v>51</v>
      </c>
      <c r="F22" s="242" t="s">
        <v>681</v>
      </c>
      <c r="G22" s="242" t="s">
        <v>673</v>
      </c>
      <c r="H22" s="292" t="s">
        <v>727</v>
      </c>
      <c r="I22" s="242" t="s">
        <v>728</v>
      </c>
      <c r="J22" s="293" t="s">
        <v>729</v>
      </c>
      <c r="K22" s="243" t="s">
        <v>531</v>
      </c>
      <c r="L22" s="243">
        <v>2</v>
      </c>
      <c r="M22" s="242" t="s">
        <v>692</v>
      </c>
      <c r="N22" s="294">
        <v>45534</v>
      </c>
      <c r="O22" s="294">
        <v>45605</v>
      </c>
      <c r="P22" s="294">
        <v>45667</v>
      </c>
      <c r="Q22" s="242">
        <v>30320098</v>
      </c>
      <c r="R22" s="243" t="s">
        <v>730</v>
      </c>
      <c r="S22" s="295" t="s">
        <v>21</v>
      </c>
      <c r="T22" s="295" t="s">
        <v>10</v>
      </c>
      <c r="U22" s="295" t="s">
        <v>8</v>
      </c>
      <c r="V22" s="242" t="s">
        <v>61</v>
      </c>
      <c r="W22" s="300" t="s">
        <v>54</v>
      </c>
      <c r="X22" s="296">
        <f t="shared" si="0"/>
        <v>8</v>
      </c>
      <c r="Y22" s="297" t="s">
        <v>9</v>
      </c>
      <c r="Z22" s="183" t="s">
        <v>1043</v>
      </c>
      <c r="AA22" s="242"/>
    </row>
    <row r="23" spans="1:27" s="16" customFormat="1" ht="38.25" x14ac:dyDescent="0.2">
      <c r="A23" s="292">
        <v>2026</v>
      </c>
      <c r="B23" s="292" t="s">
        <v>82</v>
      </c>
      <c r="C23" s="292">
        <v>8</v>
      </c>
      <c r="D23" s="298"/>
      <c r="E23" s="242"/>
      <c r="F23" s="242"/>
      <c r="G23" s="242"/>
      <c r="H23" s="292"/>
      <c r="I23" s="242"/>
      <c r="J23" s="299"/>
      <c r="K23" s="243"/>
      <c r="L23" s="243"/>
      <c r="M23" s="242"/>
      <c r="N23" s="294"/>
      <c r="O23" s="294"/>
      <c r="P23" s="294"/>
      <c r="Q23" s="242"/>
      <c r="R23" s="242" t="s">
        <v>726</v>
      </c>
      <c r="S23" s="295"/>
      <c r="T23" s="295"/>
      <c r="U23" s="295"/>
      <c r="V23" s="242"/>
      <c r="W23" s="242"/>
      <c r="X23" s="296" t="str">
        <f t="shared" si="0"/>
        <v/>
      </c>
      <c r="Y23" s="297" t="s">
        <v>744</v>
      </c>
      <c r="Z23" s="183"/>
      <c r="AA23" s="242"/>
    </row>
    <row r="24" spans="1:27" s="16" customFormat="1" ht="86.25" customHeight="1" x14ac:dyDescent="0.2">
      <c r="A24" s="292">
        <v>2026</v>
      </c>
      <c r="B24" s="292" t="s">
        <v>82</v>
      </c>
      <c r="C24" s="292">
        <v>9</v>
      </c>
      <c r="D24" s="298" t="s">
        <v>737</v>
      </c>
      <c r="E24" s="242" t="s">
        <v>51</v>
      </c>
      <c r="F24" s="242" t="s">
        <v>672</v>
      </c>
      <c r="G24" s="242" t="s">
        <v>673</v>
      </c>
      <c r="H24" s="292" t="s">
        <v>740</v>
      </c>
      <c r="I24" s="242" t="s">
        <v>741</v>
      </c>
      <c r="J24" s="293" t="s">
        <v>742</v>
      </c>
      <c r="K24" s="243" t="s">
        <v>531</v>
      </c>
      <c r="L24" s="243">
        <v>3</v>
      </c>
      <c r="M24" s="242" t="s">
        <v>743</v>
      </c>
      <c r="N24" s="294">
        <v>45685</v>
      </c>
      <c r="O24" s="294">
        <v>45845</v>
      </c>
      <c r="P24" s="294">
        <v>45916</v>
      </c>
      <c r="Q24" s="242">
        <v>89004671</v>
      </c>
      <c r="R24" s="243" t="s">
        <v>745</v>
      </c>
      <c r="S24" s="320" t="s">
        <v>21</v>
      </c>
      <c r="T24" s="320" t="s">
        <v>11</v>
      </c>
      <c r="U24" s="320" t="s">
        <v>8</v>
      </c>
      <c r="V24" s="242" t="s">
        <v>75</v>
      </c>
      <c r="W24" s="242" t="s">
        <v>29</v>
      </c>
      <c r="X24" s="296">
        <v>4.5</v>
      </c>
      <c r="Y24" s="297" t="s">
        <v>9</v>
      </c>
      <c r="Z24" s="183" t="s">
        <v>1043</v>
      </c>
      <c r="AA24" s="242" t="s">
        <v>1048</v>
      </c>
    </row>
    <row r="25" spans="1:27" s="16" customFormat="1" ht="25.5" x14ac:dyDescent="0.2">
      <c r="A25" s="292">
        <v>2026</v>
      </c>
      <c r="B25" s="292" t="s">
        <v>82</v>
      </c>
      <c r="C25" s="292">
        <v>9</v>
      </c>
      <c r="D25" s="298"/>
      <c r="E25" s="242"/>
      <c r="F25" s="242"/>
      <c r="G25" s="242"/>
      <c r="H25" s="292"/>
      <c r="I25" s="242"/>
      <c r="J25" s="299"/>
      <c r="K25" s="243"/>
      <c r="L25" s="243"/>
      <c r="M25" s="242"/>
      <c r="N25" s="294"/>
      <c r="O25" s="294"/>
      <c r="P25" s="294"/>
      <c r="Q25" s="242"/>
      <c r="R25" s="242" t="s">
        <v>738</v>
      </c>
      <c r="S25" s="295"/>
      <c r="T25" s="295"/>
      <c r="U25" s="295"/>
      <c r="V25" s="242"/>
      <c r="W25" s="242"/>
      <c r="X25" s="296" t="str">
        <f t="shared" si="0"/>
        <v/>
      </c>
      <c r="Y25" s="297" t="s">
        <v>9</v>
      </c>
      <c r="Z25" s="183"/>
      <c r="AA25" s="242"/>
    </row>
    <row r="26" spans="1:27" s="16" customFormat="1" ht="25.5" x14ac:dyDescent="0.2">
      <c r="A26" s="292">
        <v>2026</v>
      </c>
      <c r="B26" s="292" t="s">
        <v>82</v>
      </c>
      <c r="C26" s="292">
        <v>9</v>
      </c>
      <c r="D26" s="298"/>
      <c r="E26" s="242"/>
      <c r="F26" s="242"/>
      <c r="G26" s="242"/>
      <c r="H26" s="292"/>
      <c r="I26" s="242"/>
      <c r="J26" s="299"/>
      <c r="K26" s="243"/>
      <c r="L26" s="243"/>
      <c r="M26" s="242"/>
      <c r="N26" s="294"/>
      <c r="O26" s="294"/>
      <c r="P26" s="294"/>
      <c r="Q26" s="242"/>
      <c r="R26" s="242" t="s">
        <v>739</v>
      </c>
      <c r="S26" s="295"/>
      <c r="T26" s="295"/>
      <c r="U26" s="295"/>
      <c r="V26" s="242"/>
      <c r="W26" s="242"/>
      <c r="X26" s="296" t="str">
        <f t="shared" si="0"/>
        <v/>
      </c>
      <c r="Y26" s="297" t="s">
        <v>9</v>
      </c>
      <c r="Z26" s="183"/>
      <c r="AA26" s="242"/>
    </row>
    <row r="27" spans="1:27" s="321" customFormat="1" ht="142.5" customHeight="1" x14ac:dyDescent="0.2">
      <c r="A27" s="406">
        <v>2026</v>
      </c>
      <c r="B27" s="406" t="s">
        <v>82</v>
      </c>
      <c r="C27" s="406">
        <v>10</v>
      </c>
      <c r="D27" s="407" t="s">
        <v>1028</v>
      </c>
      <c r="E27" s="408" t="s">
        <v>51</v>
      </c>
      <c r="F27" s="408" t="s">
        <v>52</v>
      </c>
      <c r="G27" s="408" t="s">
        <v>1029</v>
      </c>
      <c r="H27" s="406" t="s">
        <v>1030</v>
      </c>
      <c r="I27" s="408" t="s">
        <v>1031</v>
      </c>
      <c r="J27" s="409" t="s">
        <v>1032</v>
      </c>
      <c r="K27" s="410" t="s">
        <v>1033</v>
      </c>
      <c r="L27" s="410">
        <v>3</v>
      </c>
      <c r="M27" s="408" t="s">
        <v>1034</v>
      </c>
      <c r="N27" s="411">
        <v>45970</v>
      </c>
      <c r="O27" s="411">
        <v>46024</v>
      </c>
      <c r="P27" s="411">
        <v>46052</v>
      </c>
      <c r="Q27" s="408">
        <v>18493676</v>
      </c>
      <c r="R27" s="410" t="s">
        <v>1035</v>
      </c>
      <c r="S27" s="412" t="s">
        <v>28</v>
      </c>
      <c r="T27" s="412" t="s">
        <v>22</v>
      </c>
      <c r="U27" s="408" t="s">
        <v>8</v>
      </c>
      <c r="V27" s="408" t="s">
        <v>75</v>
      </c>
      <c r="W27" s="408" t="s">
        <v>29</v>
      </c>
      <c r="X27" s="413">
        <v>0</v>
      </c>
      <c r="Y27" s="414" t="s">
        <v>9</v>
      </c>
      <c r="Z27" s="411" t="s">
        <v>1043</v>
      </c>
      <c r="AA27" s="408" t="s">
        <v>1037</v>
      </c>
    </row>
    <row r="28" spans="1:27" s="321" customFormat="1" ht="138.75" customHeight="1" x14ac:dyDescent="0.2">
      <c r="A28" s="406">
        <v>2026</v>
      </c>
      <c r="B28" s="406" t="s">
        <v>82</v>
      </c>
      <c r="C28" s="406">
        <v>10</v>
      </c>
      <c r="D28" s="407" t="s">
        <v>1028</v>
      </c>
      <c r="E28" s="408" t="s">
        <v>51</v>
      </c>
      <c r="F28" s="408" t="s">
        <v>52</v>
      </c>
      <c r="G28" s="408" t="s">
        <v>1029</v>
      </c>
      <c r="H28" s="406" t="s">
        <v>1030</v>
      </c>
      <c r="I28" s="408" t="s">
        <v>1031</v>
      </c>
      <c r="J28" s="409" t="s">
        <v>1032</v>
      </c>
      <c r="K28" s="410" t="s">
        <v>1033</v>
      </c>
      <c r="L28" s="410">
        <v>3</v>
      </c>
      <c r="M28" s="408" t="s">
        <v>1034</v>
      </c>
      <c r="N28" s="411">
        <v>45970</v>
      </c>
      <c r="O28" s="411">
        <v>46024</v>
      </c>
      <c r="P28" s="411">
        <v>46052</v>
      </c>
      <c r="Q28" s="406">
        <v>9730805</v>
      </c>
      <c r="R28" s="410" t="s">
        <v>1038</v>
      </c>
      <c r="S28" s="408" t="s">
        <v>17</v>
      </c>
      <c r="T28" s="408" t="s">
        <v>22</v>
      </c>
      <c r="U28" s="408" t="s">
        <v>8</v>
      </c>
      <c r="V28" s="408" t="s">
        <v>29</v>
      </c>
      <c r="W28" s="412" t="s">
        <v>29</v>
      </c>
      <c r="X28" s="420">
        <v>0</v>
      </c>
      <c r="Y28" s="414" t="s">
        <v>9</v>
      </c>
      <c r="Z28" s="411" t="s">
        <v>1043</v>
      </c>
      <c r="AA28" s="408" t="s">
        <v>1037</v>
      </c>
    </row>
    <row r="29" spans="1:27" s="321" customFormat="1" ht="25.5" x14ac:dyDescent="0.2">
      <c r="A29" s="406">
        <v>2026</v>
      </c>
      <c r="B29" s="406" t="s">
        <v>82</v>
      </c>
      <c r="C29" s="406">
        <v>10</v>
      </c>
      <c r="D29" s="407"/>
      <c r="E29" s="408"/>
      <c r="F29" s="408"/>
      <c r="G29" s="408"/>
      <c r="H29" s="406"/>
      <c r="I29" s="408"/>
      <c r="J29" s="409"/>
      <c r="K29" s="410"/>
      <c r="L29" s="410"/>
      <c r="M29" s="408"/>
      <c r="N29" s="411"/>
      <c r="O29" s="411"/>
      <c r="P29" s="411"/>
      <c r="Q29" s="408"/>
      <c r="R29" s="408" t="s">
        <v>1036</v>
      </c>
      <c r="S29" s="412"/>
      <c r="T29" s="412"/>
      <c r="U29" s="412"/>
      <c r="V29" s="408"/>
      <c r="W29" s="408"/>
      <c r="X29" s="413"/>
      <c r="Y29" s="414" t="s">
        <v>9</v>
      </c>
      <c r="Z29" s="411"/>
      <c r="AA29" s="408"/>
    </row>
    <row r="30" spans="1:27" s="321" customFormat="1" ht="17.25" hidden="1" customHeight="1" x14ac:dyDescent="0.2">
      <c r="A30" s="319">
        <v>2027</v>
      </c>
      <c r="B30" s="319" t="s">
        <v>82</v>
      </c>
      <c r="C30" s="319">
        <v>11</v>
      </c>
      <c r="D30" s="298"/>
      <c r="E30" s="320"/>
      <c r="F30" s="320"/>
      <c r="G30" s="320"/>
      <c r="H30" s="319"/>
      <c r="I30" s="320"/>
      <c r="J30" s="299"/>
      <c r="K30" s="243"/>
      <c r="L30" s="243"/>
      <c r="M30" s="320"/>
      <c r="N30" s="322"/>
      <c r="O30" s="322"/>
      <c r="P30" s="322"/>
      <c r="Q30" s="320"/>
      <c r="R30" s="320"/>
      <c r="S30" s="295"/>
      <c r="T30" s="295"/>
      <c r="U30" s="295"/>
      <c r="V30" s="320"/>
      <c r="W30" s="320"/>
      <c r="X30" s="296"/>
      <c r="Y30" s="297"/>
      <c r="Z30" s="183"/>
      <c r="AA30" s="320"/>
    </row>
    <row r="31" spans="1:27" s="321" customFormat="1" ht="17.25" hidden="1" customHeight="1" x14ac:dyDescent="0.2">
      <c r="A31" s="319">
        <v>2028</v>
      </c>
      <c r="B31" s="319" t="s">
        <v>82</v>
      </c>
      <c r="C31" s="319"/>
      <c r="D31" s="298"/>
      <c r="E31" s="320"/>
      <c r="F31" s="320"/>
      <c r="G31" s="320"/>
      <c r="H31" s="319"/>
      <c r="I31" s="320"/>
      <c r="J31" s="299"/>
      <c r="K31" s="243"/>
      <c r="L31" s="243"/>
      <c r="M31" s="320"/>
      <c r="N31" s="322"/>
      <c r="O31" s="322"/>
      <c r="P31" s="322"/>
      <c r="Q31" s="320"/>
      <c r="R31" s="320"/>
      <c r="S31" s="295"/>
      <c r="T31" s="295"/>
      <c r="U31" s="295"/>
      <c r="V31" s="320"/>
      <c r="W31" s="320"/>
      <c r="X31" s="296"/>
      <c r="Y31" s="297"/>
      <c r="Z31" s="183"/>
      <c r="AA31" s="320"/>
    </row>
    <row r="32" spans="1:27" s="321" customFormat="1" ht="17.25" hidden="1" customHeight="1" x14ac:dyDescent="0.2">
      <c r="A32" s="319">
        <v>2029</v>
      </c>
      <c r="B32" s="319" t="s">
        <v>82</v>
      </c>
      <c r="C32" s="319"/>
      <c r="D32" s="298"/>
      <c r="E32" s="320"/>
      <c r="F32" s="320"/>
      <c r="G32" s="320"/>
      <c r="H32" s="319"/>
      <c r="I32" s="320"/>
      <c r="J32" s="299"/>
      <c r="K32" s="243"/>
      <c r="L32" s="243"/>
      <c r="M32" s="320"/>
      <c r="N32" s="322"/>
      <c r="O32" s="322"/>
      <c r="P32" s="322"/>
      <c r="Q32" s="320"/>
      <c r="R32" s="320"/>
      <c r="S32" s="295"/>
      <c r="T32" s="295"/>
      <c r="U32" s="295"/>
      <c r="V32" s="320"/>
      <c r="W32" s="320"/>
      <c r="X32" s="296"/>
      <c r="Y32" s="297"/>
      <c r="Z32" s="183"/>
      <c r="AA32" s="320"/>
    </row>
    <row r="33" spans="1:27" s="321" customFormat="1" ht="17.25" hidden="1" customHeight="1" x14ac:dyDescent="0.2">
      <c r="A33" s="319">
        <v>2030</v>
      </c>
      <c r="B33" s="319" t="s">
        <v>82</v>
      </c>
      <c r="C33" s="319"/>
      <c r="D33" s="298"/>
      <c r="E33" s="320"/>
      <c r="F33" s="320"/>
      <c r="G33" s="320"/>
      <c r="H33" s="319"/>
      <c r="I33" s="320"/>
      <c r="J33" s="299"/>
      <c r="K33" s="243"/>
      <c r="L33" s="243"/>
      <c r="M33" s="320"/>
      <c r="N33" s="322"/>
      <c r="O33" s="322"/>
      <c r="P33" s="322"/>
      <c r="Q33" s="320"/>
      <c r="R33" s="320"/>
      <c r="S33" s="295"/>
      <c r="T33" s="295"/>
      <c r="U33" s="295"/>
      <c r="V33" s="320"/>
      <c r="W33" s="320"/>
      <c r="X33" s="296"/>
      <c r="Y33" s="297"/>
      <c r="Z33" s="183"/>
      <c r="AA33" s="320"/>
    </row>
    <row r="34" spans="1:27" s="16" customFormat="1" ht="17.25" hidden="1" customHeight="1" x14ac:dyDescent="0.2">
      <c r="A34" s="319">
        <v>2026</v>
      </c>
      <c r="B34" s="319" t="s">
        <v>82</v>
      </c>
      <c r="C34" s="292"/>
      <c r="D34" s="298"/>
      <c r="E34" s="242"/>
      <c r="F34" s="242"/>
      <c r="G34" s="242"/>
      <c r="H34" s="292"/>
      <c r="I34" s="242"/>
      <c r="J34" s="299"/>
      <c r="K34" s="243"/>
      <c r="L34" s="243"/>
      <c r="M34" s="242"/>
      <c r="N34" s="294"/>
      <c r="O34" s="294"/>
      <c r="P34" s="294"/>
      <c r="Q34" s="242"/>
      <c r="R34" s="242"/>
      <c r="S34" s="295"/>
      <c r="T34" s="295"/>
      <c r="U34" s="295"/>
      <c r="V34" s="242"/>
      <c r="W34" s="242"/>
      <c r="X34" s="296" t="str">
        <f t="shared" si="0"/>
        <v/>
      </c>
      <c r="Y34" s="297"/>
      <c r="Z34" s="183"/>
      <c r="AA34" s="242"/>
    </row>
    <row r="36" spans="1:27" x14ac:dyDescent="0.25">
      <c r="S36" s="8"/>
      <c r="T36" s="8" t="s">
        <v>64</v>
      </c>
      <c r="U36" s="8"/>
      <c r="V36" s="8"/>
      <c r="W36" s="8"/>
      <c r="X36" s="9">
        <f>SUM(X4:X35)</f>
        <v>74.5</v>
      </c>
    </row>
    <row r="37" spans="1:27" x14ac:dyDescent="0.25">
      <c r="A37" s="3"/>
      <c r="B37" s="3"/>
      <c r="C37" s="3"/>
      <c r="D37" s="3"/>
      <c r="I37" s="3"/>
      <c r="J37" s="3"/>
      <c r="K37" s="3"/>
      <c r="L37" s="3"/>
      <c r="M37" s="3"/>
      <c r="N37" s="3"/>
      <c r="O37" s="3"/>
      <c r="P37" s="3"/>
      <c r="Q37" s="3"/>
      <c r="R37" s="7"/>
      <c r="S37" s="3"/>
      <c r="T37" s="3"/>
      <c r="U37" s="3"/>
      <c r="V37" s="3"/>
      <c r="W37" s="3"/>
    </row>
    <row r="38" spans="1:27" s="3" customFormat="1" x14ac:dyDescent="0.25">
      <c r="E38" s="334"/>
      <c r="F38" s="334"/>
      <c r="G38" s="334"/>
      <c r="H38" s="334"/>
      <c r="R38" s="7"/>
    </row>
    <row r="39" spans="1:27" s="321" customFormat="1" ht="12.75" x14ac:dyDescent="0.2">
      <c r="A39" s="173"/>
      <c r="B39" s="173"/>
      <c r="C39" s="173"/>
      <c r="D39" s="173"/>
      <c r="E39" s="416"/>
      <c r="F39" s="416"/>
      <c r="G39" s="416"/>
      <c r="H39" s="416"/>
      <c r="I39" s="437" t="s">
        <v>12</v>
      </c>
      <c r="J39" s="437"/>
      <c r="K39" s="437"/>
      <c r="L39" s="437"/>
      <c r="M39" s="437"/>
      <c r="N39" s="417"/>
      <c r="O39" s="417"/>
      <c r="P39" s="417"/>
      <c r="Q39" s="417"/>
      <c r="R39" s="417"/>
      <c r="S39" s="417" t="s">
        <v>13</v>
      </c>
      <c r="T39" s="417"/>
      <c r="U39" s="421"/>
      <c r="V39" s="417"/>
      <c r="W39" s="416"/>
    </row>
    <row r="40" spans="1:27" s="321" customFormat="1" ht="12.75" x14ac:dyDescent="0.2">
      <c r="A40" s="173"/>
      <c r="B40" s="173"/>
      <c r="C40" s="173"/>
      <c r="D40" s="173"/>
      <c r="E40" s="416"/>
      <c r="F40" s="416"/>
      <c r="G40" s="416"/>
      <c r="H40" s="416"/>
      <c r="I40" s="438" t="s">
        <v>14</v>
      </c>
      <c r="J40" s="438"/>
      <c r="K40" s="438"/>
      <c r="L40" s="438"/>
      <c r="M40" s="438"/>
      <c r="N40" s="418"/>
      <c r="O40" s="418"/>
      <c r="P40" s="418"/>
      <c r="Q40" s="418"/>
      <c r="R40" s="418"/>
      <c r="S40" s="419" t="s">
        <v>18</v>
      </c>
      <c r="T40" s="419"/>
      <c r="U40" s="421"/>
      <c r="V40" s="418"/>
      <c r="W40" s="417"/>
    </row>
    <row r="41" spans="1:27" s="321" customFormat="1" ht="12.75" x14ac:dyDescent="0.2">
      <c r="A41" s="173"/>
      <c r="B41" s="173"/>
      <c r="C41" s="173"/>
      <c r="D41" s="173"/>
      <c r="E41" s="416"/>
      <c r="F41" s="416"/>
      <c r="G41" s="416"/>
      <c r="H41" s="416"/>
      <c r="I41" s="439" t="s">
        <v>65</v>
      </c>
      <c r="J41" s="439"/>
      <c r="K41" s="439"/>
      <c r="L41" s="439"/>
      <c r="M41" s="439"/>
      <c r="N41" s="415"/>
      <c r="O41" s="415"/>
      <c r="P41" s="415"/>
      <c r="Q41" s="415"/>
      <c r="R41" s="415"/>
      <c r="S41" s="417" t="s">
        <v>20</v>
      </c>
      <c r="T41" s="417"/>
      <c r="U41" s="416"/>
      <c r="V41" s="415"/>
      <c r="W41" s="418"/>
    </row>
    <row r="42" spans="1:27" s="321" customFormat="1" ht="12.75" x14ac:dyDescent="0.2">
      <c r="A42" s="173"/>
      <c r="B42" s="173"/>
      <c r="C42" s="173"/>
      <c r="D42" s="173"/>
      <c r="E42" s="416"/>
      <c r="F42" s="416"/>
      <c r="G42" s="416"/>
      <c r="H42" s="416"/>
      <c r="I42" s="439" t="s">
        <v>15</v>
      </c>
      <c r="J42" s="439"/>
      <c r="K42" s="439"/>
      <c r="L42" s="439"/>
      <c r="M42" s="439"/>
      <c r="N42" s="415"/>
      <c r="O42" s="415"/>
      <c r="P42" s="415"/>
      <c r="Q42" s="415"/>
      <c r="R42" s="173"/>
      <c r="S42" s="416" t="s">
        <v>16</v>
      </c>
      <c r="T42" s="416"/>
      <c r="U42" s="416"/>
      <c r="V42" s="415"/>
      <c r="W42" s="173"/>
    </row>
    <row r="43" spans="1:27" x14ac:dyDescent="0.25">
      <c r="A43" s="3"/>
      <c r="B43" s="3"/>
      <c r="C43" s="3"/>
      <c r="D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10"/>
      <c r="V43" s="3"/>
      <c r="W43" s="10"/>
    </row>
  </sheetData>
  <autoFilter ref="A2:AA34" xr:uid="{7EF6E025-A6B7-4759-B155-6F0432A7F17E}">
    <filterColumn colId="13" showButton="0"/>
    <filterColumn colId="14" showButton="0"/>
  </autoFilter>
  <mergeCells count="5">
    <mergeCell ref="N2:P2"/>
    <mergeCell ref="I39:M39"/>
    <mergeCell ref="I40:M40"/>
    <mergeCell ref="I41:M41"/>
    <mergeCell ref="I42:M42"/>
  </mergeCells>
  <hyperlinks>
    <hyperlink ref="J4" r:id="rId1" location="/revistasPublindex/detalle?tipo=R&amp;idRevista=264" xr:uid="{FB7883D8-AADB-4FBA-86B3-D7B097C65DAD}"/>
    <hyperlink ref="J7" r:id="rId2" location="/revistasPublindex/detalle?tipo=R&amp;idRevista=882" xr:uid="{5C663559-E5BA-4E0D-9E53-5AA002BCAF39}"/>
    <hyperlink ref="J9" r:id="rId3" location="/revistasPublindex/detalle?tipo=R&amp;idRevista=1044" xr:uid="{C939C500-0A5F-473F-9407-D2D7A9555AD3}"/>
    <hyperlink ref="J10" r:id="rId4" location="/revistasPublindex/detalle?tipo=R&amp;idRevista=1044" xr:uid="{C03F9010-D39C-4E15-AB06-C58487F3A7F3}"/>
    <hyperlink ref="J12" r:id="rId5" location="/revistasPublindex/detalle?tipo=R&amp;idRevista=1017" xr:uid="{B22D971A-7AE0-47CB-8EA0-3E775735B3FD}"/>
    <hyperlink ref="J15" r:id="rId6" location="/revistasPublindex/detalle?tipo=R&amp;idRevista=861" xr:uid="{061F5E6A-B335-4899-858F-5BC0C0533960}"/>
    <hyperlink ref="J18" r:id="rId7" location="/revistasPublindex/detalle?tipo=R&amp;idRevista=1017" xr:uid="{5ED535D8-06A0-47BB-A540-62BF5DB4C5ED}"/>
    <hyperlink ref="J21" r:id="rId8" location="/revistasPublindex/detalle?tipo=R&amp;idRevista=510" xr:uid="{7A76C452-B023-4D53-8EEE-407DEF824398}"/>
    <hyperlink ref="J13" r:id="rId9" location="/revistasPublindex/detalle?tipo=R&amp;idRevista=1017" xr:uid="{5D0C05BE-654E-444D-A4BC-FAF8D6E1A9CA}"/>
    <hyperlink ref="J22" r:id="rId10" location="/revistasPublindex/detalle?tipo=R&amp;idRevista=126" xr:uid="{6869E310-F623-45AE-8253-4F9DAFCE8CFA}"/>
    <hyperlink ref="J24" r:id="rId11" location="/revistasPublindex/detalle?tipo=R&amp;idRevista=605" xr:uid="{3A5FA4C8-208F-4348-99D0-1F361CE9E763}"/>
    <hyperlink ref="J27" r:id="rId12" location="/revistasHomologadas/detalle/53148" xr:uid="{02D313AC-8925-456F-AC0A-E2B1F56A02CA}"/>
    <hyperlink ref="J28" r:id="rId13" location="/revistasHomologadas/detalle/53148" xr:uid="{7C1E5CE1-50DD-4446-9E51-976D88B749E4}"/>
  </hyperlinks>
  <printOptions horizontalCentered="1"/>
  <pageMargins left="0.70866141732283472" right="0.70866141732283472" top="0.74803149606299213" bottom="0.74803149606299213" header="0.31496062992125984" footer="0.31496062992125984"/>
  <pageSetup paperSize="258" scale="50" orientation="landscape" r:id="rId14"/>
  <drawing r:id="rId1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AC952-2BDC-45AF-946D-3577DD700C2D}">
  <sheetPr>
    <tabColor theme="6" tint="0.39997558519241921"/>
  </sheetPr>
  <dimension ref="A1:V20"/>
  <sheetViews>
    <sheetView workbookViewId="0">
      <selection activeCell="A5" sqref="A5:C5"/>
    </sheetView>
  </sheetViews>
  <sheetFormatPr baseColWidth="10" defaultRowHeight="12.75" x14ac:dyDescent="0.2"/>
  <cols>
    <col min="1" max="1" width="5" style="321" bestFit="1" customWidth="1"/>
    <col min="2" max="2" width="6.5703125" style="321" customWidth="1"/>
    <col min="3" max="3" width="4.28515625" style="321" customWidth="1"/>
    <col min="4" max="4" width="17.42578125" style="321" customWidth="1"/>
    <col min="5" max="5" width="14.42578125" style="321" bestFit="1" customWidth="1"/>
    <col min="6" max="6" width="12.140625" style="321" bestFit="1" customWidth="1"/>
    <col min="7" max="7" width="9.42578125" style="321" bestFit="1" customWidth="1"/>
    <col min="8" max="8" width="13.85546875" style="321" customWidth="1"/>
    <col min="9" max="9" width="18.7109375" style="321" customWidth="1"/>
    <col min="10" max="10" width="8" style="321" customWidth="1"/>
    <col min="11" max="11" width="10" style="321" customWidth="1"/>
    <col min="12" max="12" width="7.42578125" style="321" customWidth="1"/>
    <col min="13" max="13" width="10.85546875" style="321" bestFit="1" customWidth="1"/>
    <col min="14" max="14" width="11.85546875" style="321" customWidth="1"/>
    <col min="15" max="15" width="12.42578125" style="321" bestFit="1" customWidth="1"/>
    <col min="16" max="17" width="11.7109375" style="321" bestFit="1" customWidth="1"/>
    <col min="18" max="19" width="10.42578125" style="321" bestFit="1" customWidth="1"/>
    <col min="20" max="20" width="10" style="321" customWidth="1"/>
    <col min="21" max="21" width="14.7109375" style="321" bestFit="1" customWidth="1"/>
    <col min="22" max="16384" width="11.42578125" style="321"/>
  </cols>
  <sheetData>
    <row r="1" spans="1:22" ht="72" customHeight="1" x14ac:dyDescent="0.2">
      <c r="D1" s="523"/>
      <c r="E1" s="523"/>
      <c r="F1" s="523"/>
      <c r="G1" s="523"/>
      <c r="H1" s="523"/>
      <c r="I1" s="523"/>
      <c r="J1" s="523"/>
      <c r="K1" s="523"/>
      <c r="L1" s="523"/>
      <c r="M1" s="523"/>
      <c r="N1" s="523"/>
      <c r="O1" s="523"/>
      <c r="P1" s="523"/>
      <c r="Q1" s="523"/>
      <c r="R1" s="523"/>
      <c r="S1" s="523"/>
      <c r="T1" s="523"/>
    </row>
    <row r="2" spans="1:22" ht="51" x14ac:dyDescent="0.2">
      <c r="A2" s="179" t="s">
        <v>6</v>
      </c>
      <c r="B2" s="179" t="s">
        <v>1</v>
      </c>
      <c r="C2" s="180" t="s">
        <v>5</v>
      </c>
      <c r="D2" s="179" t="s">
        <v>83</v>
      </c>
      <c r="E2" s="179" t="s">
        <v>84</v>
      </c>
      <c r="F2" s="179" t="s">
        <v>633</v>
      </c>
      <c r="G2" s="179" t="s">
        <v>41</v>
      </c>
      <c r="H2" s="179" t="s">
        <v>85</v>
      </c>
      <c r="I2" s="179" t="s">
        <v>86</v>
      </c>
      <c r="J2" s="179" t="s">
        <v>4</v>
      </c>
      <c r="K2" s="179" t="s">
        <v>87</v>
      </c>
      <c r="L2" s="179" t="s">
        <v>3</v>
      </c>
      <c r="M2" s="179" t="s">
        <v>88</v>
      </c>
      <c r="N2" s="179" t="s">
        <v>2</v>
      </c>
      <c r="O2" s="179" t="s">
        <v>89</v>
      </c>
      <c r="P2" s="179" t="s">
        <v>526</v>
      </c>
      <c r="Q2" s="179" t="s">
        <v>527</v>
      </c>
      <c r="R2" s="179" t="s">
        <v>525</v>
      </c>
      <c r="S2" s="179" t="s">
        <v>0</v>
      </c>
      <c r="T2" s="179" t="s">
        <v>635</v>
      </c>
      <c r="U2" s="181" t="s">
        <v>92</v>
      </c>
    </row>
    <row r="3" spans="1:22" ht="51" x14ac:dyDescent="0.2">
      <c r="A3" s="182">
        <v>2026</v>
      </c>
      <c r="B3" s="182" t="s">
        <v>93</v>
      </c>
      <c r="C3" s="182">
        <v>1</v>
      </c>
      <c r="D3" s="182" t="s">
        <v>124</v>
      </c>
      <c r="E3" s="182" t="s">
        <v>123</v>
      </c>
      <c r="F3" s="183">
        <v>45646</v>
      </c>
      <c r="G3" s="197" t="s">
        <v>529</v>
      </c>
      <c r="H3" s="177">
        <v>24573858</v>
      </c>
      <c r="I3" s="184" t="s">
        <v>125</v>
      </c>
      <c r="J3" s="185" t="s">
        <v>17</v>
      </c>
      <c r="K3" s="185" t="s">
        <v>11</v>
      </c>
      <c r="L3" s="185" t="s">
        <v>8</v>
      </c>
      <c r="M3" s="185" t="s">
        <v>67</v>
      </c>
      <c r="N3" s="185" t="s">
        <v>66</v>
      </c>
      <c r="O3" s="185" t="s">
        <v>9</v>
      </c>
      <c r="P3" s="200">
        <f>AVERAGE(3,2,3,1)</f>
        <v>2.25</v>
      </c>
      <c r="Q3" s="200">
        <f>AVERAGE(4.5,4.7,4.8,4.8)</f>
        <v>4.7</v>
      </c>
      <c r="R3" s="182">
        <v>3</v>
      </c>
      <c r="S3" s="189">
        <f>(AVERAGE(P3, Q3)*3) / IF(R3&lt;=3, 1, IF(R3&lt;=5, 2, R3/2))</f>
        <v>10.425000000000001</v>
      </c>
      <c r="T3" s="182" t="s">
        <v>1043</v>
      </c>
      <c r="U3" s="182"/>
      <c r="V3" s="186"/>
    </row>
    <row r="4" spans="1:22" ht="25.5" x14ac:dyDescent="0.2">
      <c r="A4" s="182">
        <v>2026</v>
      </c>
      <c r="B4" s="182" t="s">
        <v>93</v>
      </c>
      <c r="C4" s="182">
        <v>1</v>
      </c>
      <c r="D4" s="182"/>
      <c r="E4" s="182"/>
      <c r="F4" s="183"/>
      <c r="G4" s="198"/>
      <c r="H4" s="187"/>
      <c r="I4" s="182" t="s">
        <v>126</v>
      </c>
      <c r="J4" s="182"/>
      <c r="K4" s="182"/>
      <c r="L4" s="182"/>
      <c r="M4" s="188"/>
      <c r="N4" s="182"/>
      <c r="O4" s="182" t="s">
        <v>528</v>
      </c>
      <c r="P4" s="182"/>
      <c r="Q4" s="182"/>
      <c r="R4" s="182"/>
      <c r="S4" s="189"/>
      <c r="T4" s="182"/>
      <c r="U4" s="182"/>
      <c r="V4" s="186"/>
    </row>
    <row r="5" spans="1:22" ht="25.5" x14ac:dyDescent="0.2">
      <c r="A5" s="182">
        <v>2026</v>
      </c>
      <c r="B5" s="182" t="s">
        <v>93</v>
      </c>
      <c r="C5" s="182">
        <v>1</v>
      </c>
      <c r="D5" s="182"/>
      <c r="E5" s="182"/>
      <c r="F5" s="183"/>
      <c r="G5" s="183"/>
      <c r="H5" s="190"/>
      <c r="I5" s="182" t="s">
        <v>127</v>
      </c>
      <c r="J5" s="182"/>
      <c r="K5" s="182"/>
      <c r="L5" s="182"/>
      <c r="M5" s="182"/>
      <c r="N5" s="182"/>
      <c r="O5" s="182" t="s">
        <v>9</v>
      </c>
      <c r="P5" s="182"/>
      <c r="Q5" s="182"/>
      <c r="R5" s="182"/>
      <c r="S5" s="189"/>
      <c r="T5" s="182"/>
      <c r="U5" s="182"/>
      <c r="V5" s="186"/>
    </row>
    <row r="6" spans="1:22" x14ac:dyDescent="0.2">
      <c r="C6" s="191"/>
      <c r="D6" s="191"/>
      <c r="E6" s="191"/>
      <c r="F6" s="191"/>
      <c r="G6" s="191"/>
      <c r="H6" s="422"/>
      <c r="I6" s="422"/>
      <c r="J6" s="422"/>
      <c r="K6" s="422"/>
      <c r="L6" s="424"/>
      <c r="M6" s="424"/>
      <c r="N6" s="191"/>
      <c r="O6" s="424"/>
      <c r="P6" s="424"/>
      <c r="Q6" s="424"/>
      <c r="R6" s="424"/>
      <c r="S6" s="422"/>
      <c r="T6" s="191"/>
    </row>
    <row r="7" spans="1:22" x14ac:dyDescent="0.2">
      <c r="A7" s="173"/>
      <c r="B7" s="173"/>
      <c r="D7" s="424"/>
      <c r="E7" s="424"/>
      <c r="N7" s="450" t="s">
        <v>95</v>
      </c>
      <c r="O7" s="450"/>
      <c r="P7" s="450"/>
      <c r="Q7" s="450"/>
      <c r="R7" s="450"/>
      <c r="S7" s="178">
        <f>SUM(S3:S6)</f>
        <v>10.425000000000001</v>
      </c>
      <c r="T7" s="164"/>
    </row>
    <row r="8" spans="1:22" x14ac:dyDescent="0.2">
      <c r="A8" s="173"/>
      <c r="B8" s="173"/>
      <c r="C8" s="191"/>
      <c r="D8" s="191"/>
      <c r="E8" s="191"/>
      <c r="F8" s="191"/>
      <c r="G8" s="191"/>
      <c r="H8" s="191"/>
      <c r="J8" s="426"/>
      <c r="K8" s="426"/>
      <c r="L8" s="426"/>
      <c r="M8" s="191"/>
      <c r="N8" s="192"/>
      <c r="O8" s="191"/>
      <c r="P8" s="191"/>
      <c r="Q8" s="191"/>
      <c r="R8" s="191"/>
      <c r="S8" s="193"/>
      <c r="T8" s="191"/>
      <c r="U8" s="191" t="s">
        <v>23</v>
      </c>
    </row>
    <row r="9" spans="1:22" x14ac:dyDescent="0.2">
      <c r="A9" s="173"/>
      <c r="B9" s="173"/>
      <c r="H9" s="194"/>
      <c r="I9" s="195"/>
      <c r="J9" s="191"/>
      <c r="K9" s="191"/>
      <c r="L9" s="191"/>
      <c r="M9" s="191"/>
      <c r="N9" s="191"/>
      <c r="O9" s="191"/>
      <c r="P9" s="191"/>
      <c r="Q9" s="191"/>
      <c r="R9" s="191"/>
    </row>
    <row r="10" spans="1:22" x14ac:dyDescent="0.2">
      <c r="A10" s="173"/>
      <c r="B10" s="173"/>
      <c r="C10" s="173"/>
      <c r="D10" s="173"/>
      <c r="E10" s="173"/>
      <c r="F10" s="437" t="s">
        <v>96</v>
      </c>
      <c r="G10" s="437"/>
      <c r="H10" s="437"/>
      <c r="I10" s="437"/>
      <c r="J10" s="173"/>
      <c r="K10" s="173"/>
      <c r="L10" s="451" t="s">
        <v>12</v>
      </c>
      <c r="M10" s="451"/>
      <c r="N10" s="451"/>
      <c r="O10" s="451"/>
      <c r="P10" s="426"/>
      <c r="Q10" s="426"/>
      <c r="R10" s="426"/>
      <c r="S10" s="173"/>
      <c r="T10" s="173"/>
      <c r="U10" s="173"/>
    </row>
    <row r="11" spans="1:22" x14ac:dyDescent="0.2">
      <c r="C11" s="173"/>
      <c r="D11" s="173"/>
      <c r="E11" s="173"/>
      <c r="F11" s="438" t="s">
        <v>14</v>
      </c>
      <c r="G11" s="438"/>
      <c r="H11" s="438"/>
      <c r="I11" s="438"/>
      <c r="J11" s="423"/>
      <c r="K11" s="173"/>
      <c r="L11" s="438" t="s">
        <v>18</v>
      </c>
      <c r="M11" s="438"/>
      <c r="N11" s="438"/>
      <c r="O11" s="438"/>
      <c r="P11" s="423"/>
      <c r="Q11" s="423"/>
      <c r="R11" s="423"/>
      <c r="S11" s="173"/>
      <c r="T11" s="173"/>
      <c r="U11" s="173"/>
    </row>
    <row r="12" spans="1:22" ht="12.75" customHeight="1" x14ac:dyDescent="0.2">
      <c r="C12" s="173"/>
      <c r="D12" s="173"/>
      <c r="E12" s="173"/>
      <c r="F12" s="439" t="s">
        <v>19</v>
      </c>
      <c r="G12" s="439"/>
      <c r="H12" s="439"/>
      <c r="I12" s="439"/>
      <c r="J12" s="424"/>
      <c r="K12" s="176"/>
      <c r="L12" s="439" t="s">
        <v>20</v>
      </c>
      <c r="M12" s="439"/>
      <c r="N12" s="439"/>
      <c r="O12" s="439"/>
      <c r="P12" s="176"/>
      <c r="Q12" s="176"/>
      <c r="R12" s="176"/>
      <c r="S12" s="173"/>
      <c r="T12" s="173"/>
      <c r="U12" s="173"/>
    </row>
    <row r="13" spans="1:22" x14ac:dyDescent="0.2">
      <c r="C13" s="173"/>
      <c r="D13" s="173"/>
      <c r="E13" s="173"/>
      <c r="F13" s="439" t="s">
        <v>15</v>
      </c>
      <c r="G13" s="439"/>
      <c r="H13" s="439"/>
      <c r="I13" s="439"/>
      <c r="J13" s="424"/>
      <c r="K13" s="173"/>
      <c r="L13" s="449" t="s">
        <v>16</v>
      </c>
      <c r="M13" s="449"/>
      <c r="N13" s="449"/>
      <c r="O13" s="449"/>
      <c r="P13" s="425"/>
      <c r="Q13" s="425"/>
      <c r="R13" s="425"/>
      <c r="S13" s="173"/>
      <c r="T13" s="173"/>
      <c r="U13" s="173"/>
    </row>
    <row r="14" spans="1:22" x14ac:dyDescent="0.2">
      <c r="I14" s="424"/>
    </row>
    <row r="17" s="321" customFormat="1" x14ac:dyDescent="0.2"/>
    <row r="18" s="321" customFormat="1" x14ac:dyDescent="0.2"/>
    <row r="19" s="321" customFormat="1" x14ac:dyDescent="0.2"/>
    <row r="20" s="321" customFormat="1" x14ac:dyDescent="0.2"/>
  </sheetData>
  <mergeCells count="10">
    <mergeCell ref="D1:T1"/>
    <mergeCell ref="F12:I12"/>
    <mergeCell ref="F13:I13"/>
    <mergeCell ref="L13:O13"/>
    <mergeCell ref="N7:R7"/>
    <mergeCell ref="F10:I10"/>
    <mergeCell ref="L10:O10"/>
    <mergeCell ref="F11:I11"/>
    <mergeCell ref="L11:O11"/>
    <mergeCell ref="L12:O12"/>
  </mergeCells>
  <printOptions horizontalCentered="1"/>
  <pageMargins left="0.59055118110236227" right="0.59055118110236227" top="0.74803149606299213" bottom="0.74803149606299213" header="0.31496062992125984" footer="0.31496062992125984"/>
  <pageSetup paperSize="258" scale="65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4AE9F-6AB8-4FDF-9D83-C0A4D8AF614A}">
  <dimension ref="A1:U225"/>
  <sheetViews>
    <sheetView zoomScale="90" zoomScaleNormal="90" workbookViewId="0">
      <selection activeCell="K24" sqref="K24"/>
    </sheetView>
  </sheetViews>
  <sheetFormatPr baseColWidth="10" defaultRowHeight="72" customHeight="1" x14ac:dyDescent="0.2"/>
  <cols>
    <col min="1" max="1" width="5.5703125" style="1" bestFit="1" customWidth="1"/>
    <col min="2" max="2" width="7.140625" style="1" customWidth="1"/>
    <col min="3" max="3" width="5.42578125" style="1" customWidth="1"/>
    <col min="4" max="4" width="15" style="1" bestFit="1" customWidth="1"/>
    <col min="5" max="5" width="6.7109375" style="1" bestFit="1" customWidth="1"/>
    <col min="6" max="6" width="13.42578125" style="1" customWidth="1"/>
    <col min="7" max="7" width="11.7109375" style="1" customWidth="1"/>
    <col min="8" max="8" width="17.5703125" style="1" customWidth="1"/>
    <col min="9" max="9" width="11.140625" style="1" customWidth="1"/>
    <col min="10" max="10" width="16.42578125" style="1" customWidth="1"/>
    <col min="11" max="11" width="19" style="1" customWidth="1"/>
    <col min="12" max="12" width="11.140625" style="1" customWidth="1"/>
    <col min="13" max="13" width="12.42578125" style="1" customWidth="1"/>
    <col min="14" max="14" width="9.140625" style="1" customWidth="1"/>
    <col min="15" max="15" width="15.7109375" style="1" customWidth="1"/>
    <col min="16" max="16" width="11.5703125" style="1" bestFit="1" customWidth="1"/>
    <col min="17" max="17" width="14.7109375" style="1" bestFit="1" customWidth="1"/>
    <col min="18" max="18" width="13.85546875" style="1" customWidth="1"/>
    <col min="19" max="19" width="11.85546875" style="1" customWidth="1"/>
    <col min="20" max="20" width="11.42578125" style="212"/>
    <col min="21" max="21" width="26.7109375" style="1" customWidth="1"/>
    <col min="22" max="16384" width="11.42578125" style="1"/>
  </cols>
  <sheetData>
    <row r="1" spans="1:21" ht="72" customHeight="1" x14ac:dyDescent="0.2">
      <c r="C1" s="33"/>
      <c r="D1" s="33"/>
      <c r="E1" s="33"/>
      <c r="F1" s="33"/>
      <c r="G1" s="33"/>
      <c r="H1" s="33"/>
      <c r="I1" s="444"/>
      <c r="J1" s="444"/>
      <c r="K1" s="444"/>
      <c r="L1" s="444"/>
      <c r="M1" s="444"/>
      <c r="N1" s="444"/>
      <c r="O1" s="444"/>
      <c r="P1" s="444"/>
      <c r="Q1" s="444"/>
      <c r="R1" s="444"/>
      <c r="S1" s="444"/>
      <c r="T1" s="444"/>
    </row>
    <row r="2" spans="1:21" ht="72" customHeight="1" x14ac:dyDescent="0.2">
      <c r="A2" s="206" t="s">
        <v>6</v>
      </c>
      <c r="B2" s="206" t="s">
        <v>1</v>
      </c>
      <c r="C2" s="206" t="s">
        <v>5</v>
      </c>
      <c r="D2" s="206" t="s">
        <v>532</v>
      </c>
      <c r="E2" s="206" t="s">
        <v>35</v>
      </c>
      <c r="F2" s="206" t="s">
        <v>533</v>
      </c>
      <c r="G2" s="206" t="s">
        <v>534</v>
      </c>
      <c r="H2" s="206" t="s">
        <v>535</v>
      </c>
      <c r="I2" s="206" t="s">
        <v>536</v>
      </c>
      <c r="J2" s="206" t="s">
        <v>85</v>
      </c>
      <c r="K2" s="206" t="s">
        <v>86</v>
      </c>
      <c r="L2" s="206" t="s">
        <v>4</v>
      </c>
      <c r="M2" s="206" t="s">
        <v>87</v>
      </c>
      <c r="N2" s="206" t="s">
        <v>3</v>
      </c>
      <c r="O2" s="206" t="s">
        <v>88</v>
      </c>
      <c r="P2" s="206" t="s">
        <v>2</v>
      </c>
      <c r="Q2" s="206" t="s">
        <v>89</v>
      </c>
      <c r="R2" s="206" t="s">
        <v>90</v>
      </c>
      <c r="S2" s="206" t="s">
        <v>0</v>
      </c>
      <c r="T2" s="206" t="s">
        <v>635</v>
      </c>
      <c r="U2" s="206" t="s">
        <v>30</v>
      </c>
    </row>
    <row r="3" spans="1:21" ht="67.5" customHeight="1" x14ac:dyDescent="0.2">
      <c r="A3" s="441">
        <v>2025</v>
      </c>
      <c r="B3" s="441" t="s">
        <v>93</v>
      </c>
      <c r="C3" s="441">
        <v>1</v>
      </c>
      <c r="D3" s="440" t="s">
        <v>537</v>
      </c>
      <c r="E3" s="440" t="s">
        <v>538</v>
      </c>
      <c r="F3" s="440" t="s">
        <v>539</v>
      </c>
      <c r="G3" s="440" t="s">
        <v>540</v>
      </c>
      <c r="H3" s="440" t="s">
        <v>541</v>
      </c>
      <c r="I3" s="440" t="s">
        <v>542</v>
      </c>
      <c r="J3" s="215">
        <v>1094878677</v>
      </c>
      <c r="K3" s="216" t="s">
        <v>543</v>
      </c>
      <c r="L3" s="215" t="s">
        <v>17</v>
      </c>
      <c r="M3" s="215" t="s">
        <v>22</v>
      </c>
      <c r="N3" s="215" t="s">
        <v>8</v>
      </c>
      <c r="O3" s="215" t="s">
        <v>76</v>
      </c>
      <c r="P3" s="215" t="s">
        <v>26</v>
      </c>
      <c r="Q3" s="215" t="s">
        <v>9</v>
      </c>
      <c r="R3" s="440" t="s">
        <v>547</v>
      </c>
      <c r="S3" s="217">
        <v>8.5</v>
      </c>
      <c r="T3" s="443" t="s">
        <v>94</v>
      </c>
      <c r="U3" s="443" t="s">
        <v>548</v>
      </c>
    </row>
    <row r="4" spans="1:21" ht="67.5" customHeight="1" x14ac:dyDescent="0.2">
      <c r="A4" s="441"/>
      <c r="B4" s="441"/>
      <c r="C4" s="441"/>
      <c r="D4" s="440"/>
      <c r="E4" s="440"/>
      <c r="F4" s="440"/>
      <c r="G4" s="440"/>
      <c r="H4" s="440"/>
      <c r="I4" s="440"/>
      <c r="J4" s="215"/>
      <c r="K4" s="215" t="s">
        <v>544</v>
      </c>
      <c r="L4" s="215"/>
      <c r="M4" s="215"/>
      <c r="N4" s="215"/>
      <c r="O4" s="215"/>
      <c r="P4" s="215"/>
      <c r="Q4" s="215" t="s">
        <v>9</v>
      </c>
      <c r="R4" s="440"/>
      <c r="S4" s="217"/>
      <c r="T4" s="443"/>
      <c r="U4" s="443"/>
    </row>
    <row r="5" spans="1:21" ht="67.5" customHeight="1" x14ac:dyDescent="0.2">
      <c r="A5" s="441"/>
      <c r="B5" s="441"/>
      <c r="C5" s="441"/>
      <c r="D5" s="440"/>
      <c r="E5" s="440"/>
      <c r="F5" s="440"/>
      <c r="G5" s="440"/>
      <c r="H5" s="440"/>
      <c r="I5" s="440"/>
      <c r="J5" s="215"/>
      <c r="K5" s="215" t="s">
        <v>545</v>
      </c>
      <c r="L5" s="215"/>
      <c r="M5" s="215"/>
      <c r="N5" s="215"/>
      <c r="O5" s="215"/>
      <c r="P5" s="215"/>
      <c r="Q5" s="215" t="s">
        <v>9</v>
      </c>
      <c r="R5" s="440"/>
      <c r="S5" s="218"/>
      <c r="T5" s="443"/>
      <c r="U5" s="443"/>
    </row>
    <row r="6" spans="1:21" ht="12.75" x14ac:dyDescent="0.2">
      <c r="C6" s="207"/>
      <c r="D6" s="208"/>
      <c r="E6" s="208"/>
      <c r="F6" s="208"/>
      <c r="G6" s="208"/>
      <c r="H6" s="208"/>
      <c r="I6" s="208"/>
      <c r="J6" s="208"/>
      <c r="K6" s="209"/>
      <c r="L6" s="208"/>
      <c r="M6" s="208"/>
      <c r="N6" s="208"/>
      <c r="O6" s="208"/>
      <c r="P6" s="208"/>
      <c r="Q6" s="208"/>
      <c r="R6" s="208"/>
      <c r="S6" s="210"/>
      <c r="T6" s="211"/>
    </row>
    <row r="7" spans="1:21" ht="12.75" x14ac:dyDescent="0.2">
      <c r="O7" s="442" t="s">
        <v>546</v>
      </c>
      <c r="P7" s="442"/>
      <c r="Q7" s="442"/>
      <c r="R7" s="442"/>
      <c r="S7" s="13">
        <f>SUM(S3:S6)</f>
        <v>8.5</v>
      </c>
    </row>
    <row r="8" spans="1:21" ht="12.75" x14ac:dyDescent="0.2"/>
    <row r="9" spans="1:21" ht="12.75" x14ac:dyDescent="0.2"/>
    <row r="10" spans="1:21" ht="12.75" x14ac:dyDescent="0.2"/>
    <row r="11" spans="1:21" ht="12.75" x14ac:dyDescent="0.2"/>
    <row r="12" spans="1:21" ht="12.75" x14ac:dyDescent="0.2">
      <c r="G12" s="431" t="s">
        <v>12</v>
      </c>
      <c r="H12" s="431"/>
      <c r="I12" s="431"/>
      <c r="J12" s="431"/>
      <c r="K12" s="24"/>
      <c r="L12" s="2"/>
      <c r="M12" s="431" t="s">
        <v>13</v>
      </c>
      <c r="N12" s="431"/>
      <c r="O12" s="431"/>
      <c r="P12" s="431"/>
      <c r="T12" s="1"/>
    </row>
    <row r="13" spans="1:21" ht="12.75" x14ac:dyDescent="0.2">
      <c r="G13" s="432" t="s">
        <v>14</v>
      </c>
      <c r="H13" s="432"/>
      <c r="I13" s="432"/>
      <c r="J13" s="432"/>
      <c r="K13" s="22"/>
      <c r="L13" s="2"/>
      <c r="M13" s="432" t="s">
        <v>18</v>
      </c>
      <c r="N13" s="432"/>
      <c r="O13" s="432"/>
      <c r="P13" s="432"/>
      <c r="T13" s="1"/>
    </row>
    <row r="14" spans="1:21" ht="12.75" x14ac:dyDescent="0.2">
      <c r="G14" s="429" t="s">
        <v>19</v>
      </c>
      <c r="H14" s="429"/>
      <c r="I14" s="429"/>
      <c r="J14" s="429"/>
      <c r="K14" s="23"/>
      <c r="L14" s="431" t="s">
        <v>20</v>
      </c>
      <c r="M14" s="431"/>
      <c r="N14" s="431"/>
      <c r="O14" s="431"/>
      <c r="P14" s="431"/>
      <c r="Q14" s="431"/>
      <c r="R14" s="213"/>
      <c r="T14" s="1"/>
    </row>
    <row r="15" spans="1:21" ht="12.75" x14ac:dyDescent="0.2">
      <c r="G15" s="429" t="s">
        <v>15</v>
      </c>
      <c r="H15" s="429"/>
      <c r="I15" s="429"/>
      <c r="J15" s="429"/>
      <c r="K15" s="23"/>
      <c r="L15" s="2"/>
      <c r="M15" s="430" t="s">
        <v>16</v>
      </c>
      <c r="N15" s="430"/>
      <c r="O15" s="430"/>
      <c r="P15" s="430"/>
      <c r="T15" s="1"/>
    </row>
    <row r="16" spans="1:21" ht="15" x14ac:dyDescent="0.25">
      <c r="G16" s="3"/>
      <c r="H16" s="24"/>
      <c r="I16" s="24"/>
      <c r="J16" s="214"/>
      <c r="K16" s="214"/>
      <c r="L16" s="2"/>
      <c r="M16" s="214"/>
      <c r="N16" s="214"/>
      <c r="O16" s="214"/>
      <c r="T16" s="1"/>
      <c r="U16" s="212"/>
    </row>
    <row r="17" spans="20:21" ht="12.75" x14ac:dyDescent="0.2">
      <c r="T17" s="1"/>
      <c r="U17" s="212"/>
    </row>
    <row r="18" spans="20:21" ht="12.75" x14ac:dyDescent="0.2"/>
    <row r="19" spans="20:21" ht="12.75" x14ac:dyDescent="0.2"/>
    <row r="20" spans="20:21" ht="12.75" x14ac:dyDescent="0.2"/>
    <row r="21" spans="20:21" ht="12.75" x14ac:dyDescent="0.2"/>
    <row r="22" spans="20:21" ht="12.75" x14ac:dyDescent="0.2"/>
    <row r="23" spans="20:21" ht="12.75" x14ac:dyDescent="0.2"/>
    <row r="24" spans="20:21" ht="12.75" x14ac:dyDescent="0.2"/>
    <row r="25" spans="20:21" ht="12.75" x14ac:dyDescent="0.2"/>
    <row r="26" spans="20:21" ht="12.75" x14ac:dyDescent="0.2"/>
    <row r="27" spans="20:21" ht="12.75" x14ac:dyDescent="0.2"/>
    <row r="28" spans="20:21" ht="12.75" x14ac:dyDescent="0.2"/>
    <row r="29" spans="20:21" ht="12.75" x14ac:dyDescent="0.2"/>
    <row r="30" spans="20:21" ht="12.75" x14ac:dyDescent="0.2"/>
    <row r="31" spans="20:21" ht="12.75" x14ac:dyDescent="0.2"/>
    <row r="32" spans="20:21" ht="12.75" x14ac:dyDescent="0.2"/>
    <row r="33" ht="12.75" x14ac:dyDescent="0.2"/>
    <row r="34" ht="12.75" x14ac:dyDescent="0.2"/>
    <row r="35" ht="12.75" x14ac:dyDescent="0.2"/>
    <row r="36" ht="12.75" x14ac:dyDescent="0.2"/>
    <row r="37" ht="12.75" x14ac:dyDescent="0.2"/>
    <row r="38" ht="12.75" x14ac:dyDescent="0.2"/>
    <row r="39" ht="12.75" x14ac:dyDescent="0.2"/>
    <row r="40" ht="12.75" x14ac:dyDescent="0.2"/>
    <row r="41" ht="12.75" x14ac:dyDescent="0.2"/>
    <row r="42" ht="12.75" x14ac:dyDescent="0.2"/>
    <row r="43" ht="12.75" x14ac:dyDescent="0.2"/>
    <row r="44" ht="12.75" x14ac:dyDescent="0.2"/>
    <row r="45" ht="12.75" x14ac:dyDescent="0.2"/>
    <row r="46" ht="12.75" x14ac:dyDescent="0.2"/>
    <row r="47" ht="12.75" x14ac:dyDescent="0.2"/>
    <row r="48" ht="12.75" x14ac:dyDescent="0.2"/>
    <row r="49" ht="12.75" x14ac:dyDescent="0.2"/>
    <row r="50" ht="12.75" x14ac:dyDescent="0.2"/>
    <row r="51" ht="12.75" x14ac:dyDescent="0.2"/>
    <row r="52" ht="12.75" x14ac:dyDescent="0.2"/>
    <row r="53" ht="12.75" x14ac:dyDescent="0.2"/>
    <row r="54" ht="12.75" x14ac:dyDescent="0.2"/>
    <row r="55" ht="12.75" x14ac:dyDescent="0.2"/>
    <row r="56" ht="12.75" x14ac:dyDescent="0.2"/>
    <row r="57" ht="12.75" x14ac:dyDescent="0.2"/>
    <row r="58" ht="12.75" x14ac:dyDescent="0.2"/>
    <row r="59" ht="12.75" x14ac:dyDescent="0.2"/>
    <row r="60" ht="12.75" x14ac:dyDescent="0.2"/>
    <row r="61" ht="12.75" x14ac:dyDescent="0.2"/>
    <row r="62" ht="12.75" x14ac:dyDescent="0.2"/>
    <row r="63" ht="12.75" x14ac:dyDescent="0.2"/>
    <row r="64" ht="12.75" x14ac:dyDescent="0.2"/>
    <row r="65" ht="12.75" x14ac:dyDescent="0.2"/>
    <row r="66" ht="12.75" x14ac:dyDescent="0.2"/>
    <row r="67" ht="12.75" x14ac:dyDescent="0.2"/>
    <row r="68" ht="12.75" x14ac:dyDescent="0.2"/>
    <row r="69" ht="12.75" x14ac:dyDescent="0.2"/>
    <row r="70" ht="12.75" x14ac:dyDescent="0.2"/>
    <row r="71" ht="12.75" x14ac:dyDescent="0.2"/>
    <row r="72" ht="12.75" x14ac:dyDescent="0.2"/>
    <row r="73" ht="12.75" x14ac:dyDescent="0.2"/>
    <row r="74" ht="12.75" x14ac:dyDescent="0.2"/>
    <row r="75" ht="12.75" x14ac:dyDescent="0.2"/>
    <row r="76" ht="12.75" x14ac:dyDescent="0.2"/>
    <row r="77" ht="12.75" x14ac:dyDescent="0.2"/>
    <row r="78" ht="12.75" x14ac:dyDescent="0.2"/>
    <row r="79" ht="12.75" x14ac:dyDescent="0.2"/>
    <row r="80" ht="12.75" x14ac:dyDescent="0.2"/>
    <row r="81" ht="12.75" x14ac:dyDescent="0.2"/>
    <row r="82" ht="12.75" x14ac:dyDescent="0.2"/>
    <row r="83" ht="12.75" x14ac:dyDescent="0.2"/>
    <row r="84" ht="12.75" x14ac:dyDescent="0.2"/>
    <row r="85" ht="12.75" x14ac:dyDescent="0.2"/>
    <row r="86" ht="12.75" x14ac:dyDescent="0.2"/>
    <row r="87" ht="12.75" x14ac:dyDescent="0.2"/>
    <row r="88" ht="12.75" x14ac:dyDescent="0.2"/>
    <row r="89" ht="12.75" x14ac:dyDescent="0.2"/>
    <row r="90" ht="12.75" x14ac:dyDescent="0.2"/>
    <row r="91" ht="12.75" x14ac:dyDescent="0.2"/>
    <row r="92" ht="12.75" x14ac:dyDescent="0.2"/>
    <row r="93" ht="12.75" x14ac:dyDescent="0.2"/>
    <row r="94" ht="12.75" x14ac:dyDescent="0.2"/>
    <row r="95" ht="12.75" x14ac:dyDescent="0.2"/>
    <row r="96" ht="12.75" x14ac:dyDescent="0.2"/>
    <row r="97" ht="12.75" x14ac:dyDescent="0.2"/>
    <row r="98" ht="12.75" x14ac:dyDescent="0.2"/>
    <row r="99" ht="12.75" x14ac:dyDescent="0.2"/>
    <row r="100" ht="12.75" x14ac:dyDescent="0.2"/>
    <row r="101" ht="12.75" x14ac:dyDescent="0.2"/>
    <row r="102" ht="12.75" x14ac:dyDescent="0.2"/>
    <row r="103" ht="12.75" x14ac:dyDescent="0.2"/>
    <row r="104" ht="12.75" x14ac:dyDescent="0.2"/>
    <row r="105" ht="12.75" x14ac:dyDescent="0.2"/>
    <row r="106" ht="12.75" x14ac:dyDescent="0.2"/>
    <row r="107" ht="12.75" x14ac:dyDescent="0.2"/>
    <row r="108" ht="12.75" x14ac:dyDescent="0.2"/>
    <row r="109" ht="12.75" x14ac:dyDescent="0.2"/>
    <row r="110" ht="12.75" x14ac:dyDescent="0.2"/>
    <row r="111" ht="12.75" x14ac:dyDescent="0.2"/>
    <row r="112" ht="12.75" x14ac:dyDescent="0.2"/>
    <row r="113" ht="12.75" x14ac:dyDescent="0.2"/>
    <row r="114" ht="12.75" x14ac:dyDescent="0.2"/>
    <row r="115" ht="12.75" x14ac:dyDescent="0.2"/>
    <row r="116" ht="12.75" x14ac:dyDescent="0.2"/>
    <row r="117" ht="12.75" x14ac:dyDescent="0.2"/>
    <row r="118" ht="12.75" x14ac:dyDescent="0.2"/>
    <row r="119" ht="12.75" x14ac:dyDescent="0.2"/>
    <row r="120" ht="12.75" x14ac:dyDescent="0.2"/>
    <row r="121" ht="12.75" x14ac:dyDescent="0.2"/>
    <row r="122" ht="12.75" x14ac:dyDescent="0.2"/>
    <row r="123" ht="12.75" x14ac:dyDescent="0.2"/>
    <row r="124" ht="12.75" x14ac:dyDescent="0.2"/>
    <row r="125" ht="12.75" x14ac:dyDescent="0.2"/>
    <row r="126" ht="12.75" x14ac:dyDescent="0.2"/>
    <row r="127" ht="12.75" x14ac:dyDescent="0.2"/>
    <row r="128" ht="12.75" x14ac:dyDescent="0.2"/>
    <row r="129" ht="12.75" x14ac:dyDescent="0.2"/>
    <row r="130" ht="12.75" x14ac:dyDescent="0.2"/>
    <row r="131" ht="12.75" x14ac:dyDescent="0.2"/>
    <row r="132" ht="12.75" x14ac:dyDescent="0.2"/>
    <row r="133" ht="12.75" x14ac:dyDescent="0.2"/>
    <row r="134" ht="12.75" x14ac:dyDescent="0.2"/>
    <row r="135" ht="12.75" x14ac:dyDescent="0.2"/>
    <row r="136" ht="12.75" x14ac:dyDescent="0.2"/>
    <row r="137" ht="12.75" x14ac:dyDescent="0.2"/>
    <row r="138" ht="12.75" x14ac:dyDescent="0.2"/>
    <row r="139" ht="12.75" x14ac:dyDescent="0.2"/>
    <row r="140" ht="12.75" x14ac:dyDescent="0.2"/>
    <row r="141" ht="12.75" x14ac:dyDescent="0.2"/>
    <row r="142" ht="12.75" x14ac:dyDescent="0.2"/>
    <row r="143" ht="12.75" x14ac:dyDescent="0.2"/>
    <row r="144" ht="12.75" x14ac:dyDescent="0.2"/>
    <row r="145" ht="12.75" x14ac:dyDescent="0.2"/>
    <row r="146" ht="12.75" x14ac:dyDescent="0.2"/>
    <row r="147" ht="12.75" x14ac:dyDescent="0.2"/>
    <row r="148" ht="12.75" x14ac:dyDescent="0.2"/>
    <row r="149" ht="12.75" x14ac:dyDescent="0.2"/>
    <row r="150" ht="12.75" x14ac:dyDescent="0.2"/>
    <row r="151" ht="12.75" x14ac:dyDescent="0.2"/>
    <row r="152" ht="12.75" x14ac:dyDescent="0.2"/>
    <row r="153" ht="12.75" x14ac:dyDescent="0.2"/>
    <row r="154" ht="12.75" x14ac:dyDescent="0.2"/>
    <row r="155" ht="12.75" x14ac:dyDescent="0.2"/>
    <row r="156" ht="12.75" x14ac:dyDescent="0.2"/>
    <row r="157" ht="12.75" x14ac:dyDescent="0.2"/>
    <row r="158" ht="12.75" x14ac:dyDescent="0.2"/>
    <row r="159" ht="12.75" x14ac:dyDescent="0.2"/>
    <row r="160" ht="12.75" x14ac:dyDescent="0.2"/>
    <row r="161" ht="12.75" x14ac:dyDescent="0.2"/>
    <row r="162" ht="12.75" x14ac:dyDescent="0.2"/>
    <row r="163" ht="12.75" x14ac:dyDescent="0.2"/>
    <row r="164" ht="12.75" x14ac:dyDescent="0.2"/>
    <row r="165" ht="12.75" x14ac:dyDescent="0.2"/>
    <row r="166" ht="12.75" x14ac:dyDescent="0.2"/>
    <row r="167" ht="12.75" x14ac:dyDescent="0.2"/>
    <row r="168" ht="12.75" x14ac:dyDescent="0.2"/>
    <row r="169" ht="12.75" x14ac:dyDescent="0.2"/>
    <row r="170" ht="12.75" x14ac:dyDescent="0.2"/>
    <row r="171" ht="12.75" x14ac:dyDescent="0.2"/>
    <row r="172" ht="12.75" x14ac:dyDescent="0.2"/>
    <row r="173" ht="12.75" x14ac:dyDescent="0.2"/>
    <row r="174" ht="12.75" x14ac:dyDescent="0.2"/>
    <row r="175" ht="12.75" x14ac:dyDescent="0.2"/>
    <row r="176" ht="12.75" x14ac:dyDescent="0.2"/>
    <row r="177" ht="12.75" x14ac:dyDescent="0.2"/>
    <row r="178" ht="12.75" x14ac:dyDescent="0.2"/>
    <row r="179" ht="12.75" x14ac:dyDescent="0.2"/>
    <row r="180" ht="12.75" x14ac:dyDescent="0.2"/>
    <row r="181" ht="12.75" x14ac:dyDescent="0.2"/>
    <row r="182" ht="12.75" x14ac:dyDescent="0.2"/>
    <row r="183" ht="12.75" x14ac:dyDescent="0.2"/>
    <row r="184" ht="12.75" x14ac:dyDescent="0.2"/>
    <row r="185" ht="12.75" x14ac:dyDescent="0.2"/>
    <row r="186" ht="12.75" x14ac:dyDescent="0.2"/>
    <row r="187" ht="12.75" x14ac:dyDescent="0.2"/>
    <row r="188" ht="12.75" x14ac:dyDescent="0.2"/>
    <row r="189" ht="12.75" x14ac:dyDescent="0.2"/>
    <row r="190" ht="12.75" x14ac:dyDescent="0.2"/>
    <row r="191" ht="12.75" x14ac:dyDescent="0.2"/>
    <row r="192" ht="12.75" x14ac:dyDescent="0.2"/>
    <row r="193" ht="12.75" x14ac:dyDescent="0.2"/>
    <row r="194" ht="12.75" x14ac:dyDescent="0.2"/>
    <row r="195" ht="12.75" x14ac:dyDescent="0.2"/>
    <row r="196" ht="12.75" x14ac:dyDescent="0.2"/>
    <row r="197" ht="12.75" x14ac:dyDescent="0.2"/>
    <row r="198" ht="12.75" x14ac:dyDescent="0.2"/>
    <row r="199" ht="12.75" x14ac:dyDescent="0.2"/>
    <row r="200" ht="12.75" x14ac:dyDescent="0.2"/>
    <row r="201" ht="12.75" x14ac:dyDescent="0.2"/>
    <row r="202" ht="12.75" x14ac:dyDescent="0.2"/>
    <row r="203" ht="12.75" x14ac:dyDescent="0.2"/>
    <row r="204" ht="12.75" x14ac:dyDescent="0.2"/>
    <row r="205" ht="12.75" x14ac:dyDescent="0.2"/>
    <row r="206" ht="12.75" x14ac:dyDescent="0.2"/>
    <row r="207" ht="12.75" x14ac:dyDescent="0.2"/>
    <row r="208" ht="12.75" x14ac:dyDescent="0.2"/>
    <row r="209" ht="12.75" x14ac:dyDescent="0.2"/>
    <row r="210" ht="12.75" x14ac:dyDescent="0.2"/>
    <row r="211" ht="12.75" x14ac:dyDescent="0.2"/>
    <row r="212" ht="12.75" x14ac:dyDescent="0.2"/>
    <row r="213" ht="12.75" x14ac:dyDescent="0.2"/>
    <row r="214" ht="12.75" x14ac:dyDescent="0.2"/>
    <row r="215" ht="12.75" x14ac:dyDescent="0.2"/>
    <row r="216" ht="12.75" x14ac:dyDescent="0.2"/>
    <row r="217" ht="12.75" x14ac:dyDescent="0.2"/>
    <row r="218" ht="12.75" x14ac:dyDescent="0.2"/>
    <row r="219" ht="12.75" x14ac:dyDescent="0.2"/>
    <row r="220" ht="12.75" x14ac:dyDescent="0.2"/>
    <row r="221" ht="12.75" x14ac:dyDescent="0.2"/>
    <row r="222" ht="12.75" x14ac:dyDescent="0.2"/>
    <row r="223" ht="12.75" x14ac:dyDescent="0.2"/>
    <row r="224" ht="12.75" x14ac:dyDescent="0.2"/>
    <row r="225" ht="12.75" x14ac:dyDescent="0.2"/>
  </sheetData>
  <mergeCells count="22">
    <mergeCell ref="G15:J15"/>
    <mergeCell ref="M15:P15"/>
    <mergeCell ref="G12:J12"/>
    <mergeCell ref="M12:P12"/>
    <mergeCell ref="G13:J13"/>
    <mergeCell ref="M13:P13"/>
    <mergeCell ref="G14:J14"/>
    <mergeCell ref="L14:Q14"/>
    <mergeCell ref="O7:R7"/>
    <mergeCell ref="R3:R5"/>
    <mergeCell ref="T3:T5"/>
    <mergeCell ref="U3:U5"/>
    <mergeCell ref="I1:T1"/>
    <mergeCell ref="F3:F5"/>
    <mergeCell ref="G3:G5"/>
    <mergeCell ref="H3:H5"/>
    <mergeCell ref="I3:I5"/>
    <mergeCell ref="A3:A5"/>
    <mergeCell ref="B3:B5"/>
    <mergeCell ref="C3:C5"/>
    <mergeCell ref="D3:D5"/>
    <mergeCell ref="E3:E5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8F59D-5DF5-4421-AAA9-7549EC7139EB}">
  <dimension ref="A1:V56"/>
  <sheetViews>
    <sheetView workbookViewId="0">
      <selection activeCell="D11" sqref="D11:I11"/>
    </sheetView>
  </sheetViews>
  <sheetFormatPr baseColWidth="10" defaultColWidth="14.42578125" defaultRowHeight="67.5" customHeight="1" x14ac:dyDescent="0.2"/>
  <cols>
    <col min="1" max="1" width="5.5703125" style="214" bestFit="1" customWidth="1"/>
    <col min="2" max="2" width="7.140625" style="214" customWidth="1"/>
    <col min="3" max="3" width="4.28515625" style="214" bestFit="1" customWidth="1"/>
    <col min="4" max="4" width="18.7109375" style="214" customWidth="1"/>
    <col min="5" max="5" width="16.42578125" style="214" bestFit="1" customWidth="1"/>
    <col min="6" max="6" width="12.140625" style="220" bestFit="1" customWidth="1"/>
    <col min="7" max="7" width="9.5703125" style="220" bestFit="1" customWidth="1"/>
    <col min="8" max="8" width="14.140625" style="214" bestFit="1" customWidth="1"/>
    <col min="9" max="9" width="18.28515625" style="214" customWidth="1"/>
    <col min="10" max="10" width="12.7109375" style="214" bestFit="1" customWidth="1"/>
    <col min="11" max="11" width="10.42578125" style="214" bestFit="1" customWidth="1"/>
    <col min="12" max="12" width="11.28515625" style="214" customWidth="1"/>
    <col min="13" max="13" width="14.5703125" style="214" customWidth="1"/>
    <col min="14" max="14" width="11" style="214" customWidth="1"/>
    <col min="15" max="15" width="13.28515625" style="214" bestFit="1" customWidth="1"/>
    <col min="16" max="16" width="11.42578125" style="214" customWidth="1"/>
    <col min="17" max="19" width="11.42578125" style="220" customWidth="1"/>
    <col min="20" max="20" width="12.85546875" style="214" customWidth="1"/>
    <col min="21" max="21" width="28.85546875" style="214" customWidth="1"/>
    <col min="22" max="16384" width="14.42578125" style="214"/>
  </cols>
  <sheetData>
    <row r="1" spans="1:22" ht="72.75" customHeight="1" x14ac:dyDescent="0.2">
      <c r="A1" s="219"/>
      <c r="B1" s="219"/>
      <c r="C1" s="219"/>
      <c r="D1" s="445"/>
      <c r="E1" s="446"/>
      <c r="F1" s="446"/>
      <c r="G1" s="446"/>
      <c r="H1" s="446"/>
      <c r="I1" s="446"/>
      <c r="J1" s="446"/>
      <c r="K1" s="446"/>
      <c r="L1" s="446"/>
      <c r="M1" s="446"/>
      <c r="N1" s="446"/>
      <c r="O1" s="446"/>
      <c r="P1" s="446"/>
      <c r="Q1" s="446"/>
      <c r="R1" s="446"/>
      <c r="S1" s="446"/>
      <c r="T1" s="446"/>
      <c r="U1" s="219"/>
    </row>
    <row r="2" spans="1:22" ht="51" x14ac:dyDescent="0.2">
      <c r="A2" s="221" t="s">
        <v>6</v>
      </c>
      <c r="B2" s="222" t="s">
        <v>1</v>
      </c>
      <c r="C2" s="221" t="s">
        <v>5</v>
      </c>
      <c r="D2" s="222" t="s">
        <v>549</v>
      </c>
      <c r="E2" s="222" t="s">
        <v>84</v>
      </c>
      <c r="F2" s="222" t="s">
        <v>633</v>
      </c>
      <c r="G2" s="222" t="s">
        <v>41</v>
      </c>
      <c r="H2" s="222" t="s">
        <v>85</v>
      </c>
      <c r="I2" s="222" t="s">
        <v>86</v>
      </c>
      <c r="J2" s="222" t="s">
        <v>4</v>
      </c>
      <c r="K2" s="222" t="s">
        <v>87</v>
      </c>
      <c r="L2" s="222" t="s">
        <v>3</v>
      </c>
      <c r="M2" s="222" t="s">
        <v>88</v>
      </c>
      <c r="N2" s="222" t="s">
        <v>2</v>
      </c>
      <c r="O2" s="222" t="s">
        <v>89</v>
      </c>
      <c r="P2" s="179" t="s">
        <v>526</v>
      </c>
      <c r="Q2" s="179" t="s">
        <v>527</v>
      </c>
      <c r="R2" s="179" t="s">
        <v>525</v>
      </c>
      <c r="S2" s="179" t="s">
        <v>0</v>
      </c>
      <c r="T2" s="222" t="s">
        <v>635</v>
      </c>
      <c r="U2" s="222" t="s">
        <v>30</v>
      </c>
    </row>
    <row r="3" spans="1:22" ht="60" x14ac:dyDescent="0.2">
      <c r="A3" s="269">
        <v>2026</v>
      </c>
      <c r="B3" s="270" t="s">
        <v>93</v>
      </c>
      <c r="C3" s="270">
        <v>1</v>
      </c>
      <c r="D3" s="270" t="s">
        <v>550</v>
      </c>
      <c r="E3" s="270" t="s">
        <v>667</v>
      </c>
      <c r="F3" s="271">
        <v>45526</v>
      </c>
      <c r="G3" s="270" t="s">
        <v>529</v>
      </c>
      <c r="H3" s="314">
        <v>52079098</v>
      </c>
      <c r="I3" s="315" t="s">
        <v>77</v>
      </c>
      <c r="J3" s="316" t="s">
        <v>21</v>
      </c>
      <c r="K3" s="316" t="s">
        <v>10</v>
      </c>
      <c r="L3" s="316" t="s">
        <v>8</v>
      </c>
      <c r="M3" s="316" t="s">
        <v>78</v>
      </c>
      <c r="N3" s="316" t="s">
        <v>24</v>
      </c>
      <c r="O3" s="316" t="s">
        <v>551</v>
      </c>
      <c r="P3" s="272">
        <f>AVERAGE(3,2,3,1,2)</f>
        <v>2.2000000000000002</v>
      </c>
      <c r="Q3" s="272">
        <f>AVERAGE(4.5,4.7,4.8,4.8,5)</f>
        <v>4.76</v>
      </c>
      <c r="R3" s="273">
        <v>4</v>
      </c>
      <c r="S3" s="274">
        <f>(AVERAGE(P3, Q3)*4) / IF(R3&lt;=3, 1, IF(R3&lt;=5, 2, R3/2))</f>
        <v>6.96</v>
      </c>
      <c r="T3" s="270" t="s">
        <v>552</v>
      </c>
      <c r="U3" s="447" t="s">
        <v>668</v>
      </c>
    </row>
    <row r="4" spans="1:22" ht="60" x14ac:dyDescent="0.2">
      <c r="A4" s="269">
        <v>2026</v>
      </c>
      <c r="B4" s="270" t="s">
        <v>93</v>
      </c>
      <c r="C4" s="270">
        <v>1</v>
      </c>
      <c r="D4" s="270" t="s">
        <v>550</v>
      </c>
      <c r="E4" s="270" t="s">
        <v>667</v>
      </c>
      <c r="F4" s="271">
        <v>45526</v>
      </c>
      <c r="G4" s="270" t="s">
        <v>529</v>
      </c>
      <c r="H4" s="269">
        <v>79567036</v>
      </c>
      <c r="I4" s="275" t="s">
        <v>56</v>
      </c>
      <c r="J4" s="270" t="s">
        <v>17</v>
      </c>
      <c r="K4" s="270" t="s">
        <v>10</v>
      </c>
      <c r="L4" s="270" t="s">
        <v>8</v>
      </c>
      <c r="M4" s="270" t="s">
        <v>57</v>
      </c>
      <c r="N4" s="270" t="s">
        <v>26</v>
      </c>
      <c r="O4" s="276" t="s">
        <v>551</v>
      </c>
      <c r="P4" s="272">
        <f>AVERAGE(3,2,3,1,2)</f>
        <v>2.2000000000000002</v>
      </c>
      <c r="Q4" s="272">
        <f>AVERAGE(4.5,4.7,4.8,4.8,5)</f>
        <v>4.76</v>
      </c>
      <c r="R4" s="273">
        <v>4</v>
      </c>
      <c r="S4" s="274">
        <f t="shared" ref="S4:S5" si="0">(AVERAGE(P4, Q4)*4) / IF(R4&lt;=3, 1, IF(R4&lt;=5, 2, R4/2))</f>
        <v>6.96</v>
      </c>
      <c r="T4" s="270" t="s">
        <v>552</v>
      </c>
      <c r="U4" s="447"/>
    </row>
    <row r="5" spans="1:22" ht="48" customHeight="1" x14ac:dyDescent="0.2">
      <c r="A5" s="269">
        <v>2026</v>
      </c>
      <c r="B5" s="270" t="s">
        <v>93</v>
      </c>
      <c r="C5" s="270">
        <v>1</v>
      </c>
      <c r="D5" s="270" t="s">
        <v>550</v>
      </c>
      <c r="E5" s="270" t="s">
        <v>667</v>
      </c>
      <c r="F5" s="271">
        <v>45526</v>
      </c>
      <c r="G5" s="270" t="s">
        <v>529</v>
      </c>
      <c r="H5" s="269">
        <v>24580571</v>
      </c>
      <c r="I5" s="275" t="s">
        <v>553</v>
      </c>
      <c r="J5" s="270" t="s">
        <v>21</v>
      </c>
      <c r="K5" s="270" t="s">
        <v>11</v>
      </c>
      <c r="L5" s="270" t="s">
        <v>8</v>
      </c>
      <c r="M5" s="270" t="s">
        <v>57</v>
      </c>
      <c r="N5" s="270" t="s">
        <v>26</v>
      </c>
      <c r="O5" s="276" t="s">
        <v>551</v>
      </c>
      <c r="P5" s="272">
        <f>AVERAGE(3,2,3,1,2)</f>
        <v>2.2000000000000002</v>
      </c>
      <c r="Q5" s="272">
        <f>AVERAGE(4.5,4.7,4.8,4.8,5)</f>
        <v>4.76</v>
      </c>
      <c r="R5" s="273">
        <v>4</v>
      </c>
      <c r="S5" s="274">
        <f t="shared" si="0"/>
        <v>6.96</v>
      </c>
      <c r="T5" s="270" t="s">
        <v>552</v>
      </c>
      <c r="U5" s="447"/>
    </row>
    <row r="6" spans="1:22" ht="24" x14ac:dyDescent="0.2">
      <c r="A6" s="269"/>
      <c r="B6" s="270"/>
      <c r="C6" s="270"/>
      <c r="D6" s="270"/>
      <c r="E6" s="270"/>
      <c r="F6" s="270"/>
      <c r="G6" s="270"/>
      <c r="H6" s="269"/>
      <c r="I6" s="270" t="s">
        <v>554</v>
      </c>
      <c r="J6" s="270"/>
      <c r="K6" s="270"/>
      <c r="L6" s="270"/>
      <c r="M6" s="270"/>
      <c r="N6" s="270"/>
      <c r="O6" s="276"/>
      <c r="P6" s="277"/>
      <c r="Q6" s="277"/>
      <c r="R6" s="277"/>
      <c r="S6" s="277"/>
      <c r="T6" s="278"/>
      <c r="U6" s="447"/>
    </row>
    <row r="7" spans="1:22" ht="12" x14ac:dyDescent="0.2">
      <c r="A7" s="223"/>
      <c r="B7" s="223"/>
      <c r="C7" s="223"/>
      <c r="D7" s="224"/>
      <c r="E7" s="225"/>
      <c r="F7" s="225"/>
      <c r="G7" s="225"/>
      <c r="H7" s="225"/>
      <c r="I7" s="225"/>
      <c r="J7" s="225"/>
      <c r="K7" s="225"/>
      <c r="L7" s="225"/>
      <c r="M7" s="225"/>
      <c r="N7" s="225"/>
      <c r="O7" s="225"/>
      <c r="P7" s="226"/>
      <c r="Q7" s="226"/>
      <c r="R7" s="226"/>
      <c r="S7" s="226"/>
      <c r="T7" s="227"/>
      <c r="U7" s="225"/>
    </row>
    <row r="8" spans="1:22" ht="12" x14ac:dyDescent="0.2">
      <c r="A8" s="219"/>
      <c r="B8" s="219"/>
      <c r="C8" s="219"/>
      <c r="D8" s="219"/>
      <c r="E8" s="219"/>
      <c r="F8" s="219"/>
      <c r="G8" s="219"/>
      <c r="H8" s="219"/>
      <c r="I8" s="219"/>
      <c r="J8" s="223"/>
      <c r="K8" s="228"/>
      <c r="L8" s="228"/>
      <c r="M8" s="228"/>
      <c r="N8" s="228"/>
      <c r="O8" s="229" t="s">
        <v>555</v>
      </c>
      <c r="P8" s="230"/>
      <c r="Q8" s="230"/>
      <c r="R8" s="230"/>
      <c r="S8" s="230">
        <f>SUM(S3:S7)</f>
        <v>20.88</v>
      </c>
      <c r="T8" s="219"/>
      <c r="U8" s="219"/>
      <c r="V8" s="219"/>
    </row>
    <row r="9" spans="1:22" ht="12" x14ac:dyDescent="0.2">
      <c r="A9" s="219"/>
      <c r="B9" s="219"/>
      <c r="C9" s="219"/>
      <c r="D9" s="219"/>
      <c r="E9" s="219"/>
      <c r="F9" s="219"/>
      <c r="G9" s="219"/>
      <c r="H9" s="219"/>
      <c r="I9" s="219"/>
      <c r="J9" s="223"/>
      <c r="K9" s="223"/>
      <c r="L9" s="223"/>
      <c r="M9" s="219"/>
      <c r="N9" s="219"/>
      <c r="O9" s="219"/>
      <c r="P9" s="231"/>
      <c r="Q9" s="231"/>
      <c r="R9" s="231"/>
      <c r="S9" s="231"/>
      <c r="T9" s="219"/>
      <c r="U9" s="219"/>
    </row>
    <row r="10" spans="1:22" ht="12" x14ac:dyDescent="0.2">
      <c r="A10" s="219"/>
      <c r="B10" s="219"/>
      <c r="C10" s="219"/>
      <c r="D10" s="219"/>
      <c r="E10" s="219"/>
      <c r="F10" s="219"/>
      <c r="G10" s="219"/>
      <c r="H10" s="219"/>
      <c r="I10" s="219"/>
      <c r="J10" s="223"/>
      <c r="K10" s="223"/>
      <c r="L10" s="223"/>
      <c r="M10" s="223"/>
      <c r="N10" s="219"/>
      <c r="O10" s="219"/>
      <c r="P10" s="231"/>
      <c r="Q10" s="231"/>
      <c r="R10" s="231"/>
      <c r="S10" s="231"/>
      <c r="T10" s="219"/>
    </row>
    <row r="11" spans="1:22" ht="12" customHeight="1" x14ac:dyDescent="0.2">
      <c r="B11" s="219"/>
      <c r="C11" s="219"/>
      <c r="D11" s="433" t="s">
        <v>12</v>
      </c>
      <c r="E11" s="433"/>
      <c r="F11" s="433"/>
      <c r="G11" s="433"/>
      <c r="H11" s="433"/>
      <c r="I11" s="433"/>
      <c r="J11" s="21"/>
      <c r="K11" s="21"/>
      <c r="L11" s="21"/>
      <c r="M11" s="21"/>
      <c r="N11" s="21"/>
      <c r="O11" s="268" t="s">
        <v>556</v>
      </c>
      <c r="P11" s="268"/>
      <c r="Q11" s="25"/>
      <c r="R11" s="25"/>
      <c r="S11" s="25"/>
      <c r="T11" s="7"/>
    </row>
    <row r="12" spans="1:22" ht="12.75" x14ac:dyDescent="0.2">
      <c r="B12" s="219"/>
      <c r="C12" s="219"/>
      <c r="D12" s="432" t="s">
        <v>14</v>
      </c>
      <c r="E12" s="432"/>
      <c r="F12" s="432"/>
      <c r="G12" s="432"/>
      <c r="H12" s="432"/>
      <c r="I12" s="432"/>
      <c r="J12" s="22"/>
      <c r="K12" s="22"/>
      <c r="L12" s="22"/>
      <c r="M12" s="22"/>
      <c r="N12" s="2"/>
      <c r="O12" s="431" t="s">
        <v>13</v>
      </c>
      <c r="P12" s="431"/>
      <c r="Q12" s="431"/>
      <c r="R12" s="431"/>
      <c r="S12" s="1"/>
      <c r="T12" s="7"/>
    </row>
    <row r="13" spans="1:22" ht="15" x14ac:dyDescent="0.25">
      <c r="B13" s="219"/>
      <c r="C13" s="219"/>
      <c r="D13" s="429" t="s">
        <v>65</v>
      </c>
      <c r="E13" s="429"/>
      <c r="F13" s="429"/>
      <c r="G13" s="429"/>
      <c r="H13" s="429"/>
      <c r="I13" s="429"/>
      <c r="J13" s="23"/>
      <c r="K13" s="23"/>
      <c r="L13" s="23"/>
      <c r="M13" s="23"/>
      <c r="N13" s="2"/>
      <c r="O13" s="432" t="s">
        <v>18</v>
      </c>
      <c r="P13" s="432"/>
      <c r="Q13" s="432"/>
      <c r="R13" s="432"/>
      <c r="S13" s="1"/>
      <c r="T13" s="10"/>
    </row>
    <row r="14" spans="1:22" ht="15" x14ac:dyDescent="0.25">
      <c r="B14" s="219"/>
      <c r="C14" s="219"/>
      <c r="D14" s="429" t="s">
        <v>15</v>
      </c>
      <c r="E14" s="429"/>
      <c r="F14" s="429"/>
      <c r="G14" s="429"/>
      <c r="H14" s="429"/>
      <c r="I14" s="429"/>
      <c r="J14" s="23"/>
      <c r="K14" s="23"/>
      <c r="L14" s="23"/>
      <c r="M14" s="23"/>
      <c r="N14" s="431" t="s">
        <v>20</v>
      </c>
      <c r="O14" s="431"/>
      <c r="P14" s="431"/>
      <c r="Q14" s="431"/>
      <c r="R14" s="431"/>
      <c r="S14" s="431"/>
      <c r="T14" s="10"/>
    </row>
    <row r="15" spans="1:22" ht="12.75" x14ac:dyDescent="0.2">
      <c r="B15" s="219"/>
      <c r="N15" s="2"/>
      <c r="O15" s="430" t="s">
        <v>16</v>
      </c>
      <c r="P15" s="430"/>
      <c r="Q15" s="430"/>
      <c r="R15" s="430"/>
      <c r="S15" s="1"/>
    </row>
    <row r="16" spans="1:22" ht="12" x14ac:dyDescent="0.2"/>
    <row r="17" ht="12" x14ac:dyDescent="0.2"/>
    <row r="18" ht="12" x14ac:dyDescent="0.2"/>
    <row r="19" ht="12" x14ac:dyDescent="0.2"/>
    <row r="20" ht="12" x14ac:dyDescent="0.2"/>
    <row r="21" ht="12" x14ac:dyDescent="0.2"/>
    <row r="22" ht="12" x14ac:dyDescent="0.2"/>
    <row r="23" ht="12" x14ac:dyDescent="0.2"/>
    <row r="24" ht="12" x14ac:dyDescent="0.2"/>
    <row r="25" ht="12" x14ac:dyDescent="0.2"/>
    <row r="26" ht="12" x14ac:dyDescent="0.2"/>
    <row r="27" ht="12" x14ac:dyDescent="0.2"/>
    <row r="28" ht="12" x14ac:dyDescent="0.2"/>
    <row r="29" ht="12" x14ac:dyDescent="0.2"/>
    <row r="30" ht="12" x14ac:dyDescent="0.2"/>
    <row r="31" ht="12" x14ac:dyDescent="0.2"/>
    <row r="32" ht="12" x14ac:dyDescent="0.2"/>
    <row r="33" ht="12" x14ac:dyDescent="0.2"/>
    <row r="34" ht="12" x14ac:dyDescent="0.2"/>
    <row r="35" ht="12" x14ac:dyDescent="0.2"/>
    <row r="36" ht="12" x14ac:dyDescent="0.2"/>
    <row r="37" ht="12" x14ac:dyDescent="0.2"/>
    <row r="38" ht="12" x14ac:dyDescent="0.2"/>
    <row r="39" ht="12" x14ac:dyDescent="0.2"/>
    <row r="40" ht="12" x14ac:dyDescent="0.2"/>
    <row r="41" ht="12" x14ac:dyDescent="0.2"/>
    <row r="42" ht="12" x14ac:dyDescent="0.2"/>
    <row r="43" ht="12" x14ac:dyDescent="0.2"/>
    <row r="44" ht="12" x14ac:dyDescent="0.2"/>
    <row r="45" ht="12" x14ac:dyDescent="0.2"/>
    <row r="46" ht="12" x14ac:dyDescent="0.2"/>
    <row r="47" ht="12" x14ac:dyDescent="0.2"/>
    <row r="48" ht="12" x14ac:dyDescent="0.2"/>
    <row r="49" ht="12" x14ac:dyDescent="0.2"/>
    <row r="50" ht="12" x14ac:dyDescent="0.2"/>
    <row r="51" ht="12" x14ac:dyDescent="0.2"/>
    <row r="52" ht="12" x14ac:dyDescent="0.2"/>
    <row r="53" ht="12" x14ac:dyDescent="0.2"/>
    <row r="54" ht="12" x14ac:dyDescent="0.2"/>
    <row r="55" ht="12" x14ac:dyDescent="0.2"/>
    <row r="56" ht="12" x14ac:dyDescent="0.2"/>
  </sheetData>
  <mergeCells count="10">
    <mergeCell ref="O15:R15"/>
    <mergeCell ref="D1:T1"/>
    <mergeCell ref="D14:I14"/>
    <mergeCell ref="U3:U6"/>
    <mergeCell ref="D11:I11"/>
    <mergeCell ref="D12:I12"/>
    <mergeCell ref="D13:I13"/>
    <mergeCell ref="O12:R12"/>
    <mergeCell ref="O13:R13"/>
    <mergeCell ref="N14:S14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2423B-DE6D-4126-A36E-1D2E0A104755}">
  <dimension ref="A1:V23"/>
  <sheetViews>
    <sheetView workbookViewId="0">
      <selection activeCell="I6" sqref="I6"/>
    </sheetView>
  </sheetViews>
  <sheetFormatPr baseColWidth="10" defaultRowHeight="72" customHeight="1" x14ac:dyDescent="0.25"/>
  <cols>
    <col min="1" max="1" width="5" style="3" bestFit="1" customWidth="1"/>
    <col min="2" max="2" width="6.7109375" style="3" bestFit="1" customWidth="1"/>
    <col min="3" max="3" width="3.5703125" style="3" bestFit="1" customWidth="1"/>
    <col min="4" max="4" width="13.7109375" style="3" customWidth="1"/>
    <col min="5" max="5" width="16.42578125" style="3" bestFit="1" customWidth="1"/>
    <col min="6" max="7" width="11.85546875" style="3" customWidth="1"/>
    <col min="8" max="8" width="11.140625" style="3" customWidth="1"/>
    <col min="9" max="9" width="13.7109375" style="3" customWidth="1"/>
    <col min="10" max="10" width="16.5703125" style="3" customWidth="1"/>
    <col min="11" max="11" width="9.28515625" style="3" customWidth="1"/>
    <col min="12" max="12" width="10.42578125" style="3" bestFit="1" customWidth="1"/>
    <col min="13" max="13" width="8.85546875" style="3" customWidth="1"/>
    <col min="14" max="14" width="12.42578125" style="3" bestFit="1" customWidth="1"/>
    <col min="15" max="15" width="13.140625" style="3" customWidth="1"/>
    <col min="16" max="16" width="13.28515625" style="3" bestFit="1" customWidth="1"/>
    <col min="17" max="19" width="13.28515625" style="3" customWidth="1"/>
    <col min="20" max="20" width="10.42578125" style="3" customWidth="1"/>
    <col min="21" max="21" width="9.85546875" style="3" customWidth="1"/>
    <col min="22" max="22" width="15.140625" style="3" bestFit="1" customWidth="1"/>
    <col min="23" max="16384" width="11.42578125" style="3"/>
  </cols>
  <sheetData>
    <row r="1" spans="1:22" ht="72" customHeight="1" x14ac:dyDescent="0.25">
      <c r="D1" s="448"/>
      <c r="E1" s="448"/>
      <c r="F1" s="448"/>
      <c r="G1" s="448"/>
      <c r="H1" s="448"/>
      <c r="I1" s="448"/>
      <c r="J1" s="448"/>
      <c r="K1" s="448"/>
      <c r="L1" s="448"/>
      <c r="M1" s="448"/>
      <c r="N1" s="448"/>
      <c r="O1" s="448"/>
      <c r="P1" s="448"/>
      <c r="Q1" s="448"/>
      <c r="R1" s="448"/>
      <c r="S1" s="448"/>
      <c r="T1" s="448"/>
      <c r="U1" s="448"/>
    </row>
    <row r="2" spans="1:22" s="214" customFormat="1" ht="48" x14ac:dyDescent="0.2">
      <c r="A2" s="4" t="s">
        <v>6</v>
      </c>
      <c r="B2" s="4" t="s">
        <v>1</v>
      </c>
      <c r="C2" s="6" t="s">
        <v>5</v>
      </c>
      <c r="D2" s="4" t="s">
        <v>557</v>
      </c>
      <c r="E2" s="4" t="s">
        <v>84</v>
      </c>
      <c r="F2" s="4" t="s">
        <v>633</v>
      </c>
      <c r="G2" s="4" t="s">
        <v>41</v>
      </c>
      <c r="H2" s="4" t="s">
        <v>558</v>
      </c>
      <c r="I2" s="4" t="s">
        <v>85</v>
      </c>
      <c r="J2" s="4" t="s">
        <v>86</v>
      </c>
      <c r="K2" s="4" t="s">
        <v>4</v>
      </c>
      <c r="L2" s="4" t="s">
        <v>87</v>
      </c>
      <c r="M2" s="4" t="s">
        <v>3</v>
      </c>
      <c r="N2" s="4" t="s">
        <v>88</v>
      </c>
      <c r="O2" s="4" t="s">
        <v>2</v>
      </c>
      <c r="P2" s="4" t="s">
        <v>89</v>
      </c>
      <c r="Q2" s="179" t="s">
        <v>526</v>
      </c>
      <c r="R2" s="179" t="s">
        <v>527</v>
      </c>
      <c r="S2" s="179" t="s">
        <v>525</v>
      </c>
      <c r="T2" s="4" t="s">
        <v>0</v>
      </c>
      <c r="U2" s="4" t="s">
        <v>635</v>
      </c>
      <c r="V2" s="30" t="s">
        <v>92</v>
      </c>
    </row>
    <row r="3" spans="1:22" ht="48" x14ac:dyDescent="0.25">
      <c r="A3" s="270">
        <v>2025</v>
      </c>
      <c r="B3" s="270" t="s">
        <v>93</v>
      </c>
      <c r="C3" s="270">
        <v>1</v>
      </c>
      <c r="D3" s="270" t="s">
        <v>559</v>
      </c>
      <c r="E3" s="270" t="s">
        <v>560</v>
      </c>
      <c r="F3" s="271">
        <v>45625</v>
      </c>
      <c r="G3" s="279" t="s">
        <v>529</v>
      </c>
      <c r="H3" s="270" t="s">
        <v>561</v>
      </c>
      <c r="I3" s="280">
        <v>24580998</v>
      </c>
      <c r="J3" s="275" t="s">
        <v>562</v>
      </c>
      <c r="K3" s="269" t="s">
        <v>17</v>
      </c>
      <c r="L3" s="269" t="s">
        <v>10</v>
      </c>
      <c r="M3" s="270" t="s">
        <v>8</v>
      </c>
      <c r="N3" s="281" t="s">
        <v>67</v>
      </c>
      <c r="O3" s="270" t="s">
        <v>66</v>
      </c>
      <c r="P3" s="270" t="s">
        <v>9</v>
      </c>
      <c r="Q3" s="272">
        <f>AVERAGE(3,2,3,1)</f>
        <v>2.25</v>
      </c>
      <c r="R3" s="272">
        <f>AVERAGE(4.5,4.7,4.8,4.8)</f>
        <v>4.7</v>
      </c>
      <c r="S3" s="273">
        <v>5</v>
      </c>
      <c r="T3" s="274">
        <f>(AVERAGE(Q3, R3)*3) / IF(S3&lt;=3, 1, IF(S3&lt;=5, 2, S3/2))</f>
        <v>5.2125000000000004</v>
      </c>
      <c r="U3" s="282" t="s">
        <v>552</v>
      </c>
      <c r="V3" s="270"/>
    </row>
    <row r="4" spans="1:22" ht="24" x14ac:dyDescent="0.25">
      <c r="A4" s="270"/>
      <c r="B4" s="270"/>
      <c r="C4" s="270"/>
      <c r="D4" s="270"/>
      <c r="E4" s="270"/>
      <c r="F4" s="270"/>
      <c r="G4" s="270"/>
      <c r="H4" s="270"/>
      <c r="I4" s="280"/>
      <c r="J4" s="270" t="s">
        <v>563</v>
      </c>
      <c r="K4" s="269"/>
      <c r="L4" s="269"/>
      <c r="M4" s="270"/>
      <c r="N4" s="281"/>
      <c r="O4" s="270"/>
      <c r="P4" s="270" t="s">
        <v>9</v>
      </c>
      <c r="Q4" s="272"/>
      <c r="R4" s="272"/>
      <c r="S4" s="273"/>
      <c r="T4" s="274"/>
      <c r="U4" s="282"/>
      <c r="V4" s="270"/>
    </row>
    <row r="5" spans="1:22" ht="24" x14ac:dyDescent="0.25">
      <c r="A5" s="270"/>
      <c r="B5" s="270"/>
      <c r="C5" s="270"/>
      <c r="D5" s="270"/>
      <c r="E5" s="270"/>
      <c r="F5" s="270"/>
      <c r="G5" s="270"/>
      <c r="H5" s="270"/>
      <c r="I5" s="280"/>
      <c r="J5" s="270" t="s">
        <v>564</v>
      </c>
      <c r="K5" s="269"/>
      <c r="L5" s="269"/>
      <c r="M5" s="270"/>
      <c r="N5" s="281"/>
      <c r="O5" s="281"/>
      <c r="P5" s="270" t="s">
        <v>9</v>
      </c>
      <c r="Q5" s="272"/>
      <c r="R5" s="272"/>
      <c r="S5" s="273"/>
      <c r="T5" s="274"/>
      <c r="U5" s="282"/>
      <c r="V5" s="270"/>
    </row>
    <row r="6" spans="1:22" ht="48" customHeight="1" x14ac:dyDescent="0.25">
      <c r="A6" s="270">
        <v>2025</v>
      </c>
      <c r="B6" s="270" t="s">
        <v>93</v>
      </c>
      <c r="C6" s="270">
        <v>2</v>
      </c>
      <c r="D6" s="270" t="s">
        <v>565</v>
      </c>
      <c r="E6" s="270" t="s">
        <v>566</v>
      </c>
      <c r="F6" s="271">
        <v>45625</v>
      </c>
      <c r="G6" s="279" t="s">
        <v>529</v>
      </c>
      <c r="H6" s="270" t="s">
        <v>567</v>
      </c>
      <c r="I6" s="280">
        <v>9728326</v>
      </c>
      <c r="J6" s="275" t="s">
        <v>568</v>
      </c>
      <c r="K6" s="269" t="s">
        <v>17</v>
      </c>
      <c r="L6" s="269" t="s">
        <v>22</v>
      </c>
      <c r="M6" s="270" t="s">
        <v>8</v>
      </c>
      <c r="N6" s="281" t="s">
        <v>67</v>
      </c>
      <c r="O6" s="270" t="s">
        <v>66</v>
      </c>
      <c r="P6" s="270" t="s">
        <v>9</v>
      </c>
      <c r="Q6" s="272">
        <f t="shared" ref="Q6:Q9" si="0">AVERAGE(3,2,3,1)</f>
        <v>2.25</v>
      </c>
      <c r="R6" s="272">
        <f t="shared" ref="R6:R9" si="1">AVERAGE(4.5,4.7,4.8,4.8)</f>
        <v>4.7</v>
      </c>
      <c r="S6" s="273">
        <v>8</v>
      </c>
      <c r="T6" s="274">
        <f t="shared" ref="T6:T9" si="2">(AVERAGE(Q6, R6)*3) / IF(S6&lt;=3, 1, IF(S6&lt;=5, 2, S6/2))</f>
        <v>2.6062500000000002</v>
      </c>
      <c r="U6" s="282" t="s">
        <v>552</v>
      </c>
      <c r="V6" s="270"/>
    </row>
    <row r="7" spans="1:22" ht="24" x14ac:dyDescent="0.25">
      <c r="A7" s="270"/>
      <c r="B7" s="270"/>
      <c r="C7" s="270"/>
      <c r="D7" s="270"/>
      <c r="E7" s="270"/>
      <c r="F7" s="270"/>
      <c r="G7" s="270"/>
      <c r="H7" s="270"/>
      <c r="I7" s="280"/>
      <c r="J7" s="270" t="s">
        <v>569</v>
      </c>
      <c r="K7" s="269"/>
      <c r="L7" s="269"/>
      <c r="M7" s="270"/>
      <c r="N7" s="281"/>
      <c r="O7" s="270"/>
      <c r="P7" s="270" t="s">
        <v>9</v>
      </c>
      <c r="Q7" s="272"/>
      <c r="R7" s="272"/>
      <c r="S7" s="273"/>
      <c r="T7" s="274"/>
      <c r="U7" s="282"/>
      <c r="V7" s="270"/>
    </row>
    <row r="8" spans="1:22" ht="24" x14ac:dyDescent="0.25">
      <c r="A8" s="270"/>
      <c r="B8" s="270"/>
      <c r="C8" s="270"/>
      <c r="D8" s="270"/>
      <c r="E8" s="270"/>
      <c r="F8" s="270"/>
      <c r="G8" s="270"/>
      <c r="H8" s="270"/>
      <c r="I8" s="280"/>
      <c r="J8" s="270" t="s">
        <v>570</v>
      </c>
      <c r="K8" s="269"/>
      <c r="L8" s="269"/>
      <c r="M8" s="270"/>
      <c r="N8" s="281"/>
      <c r="O8" s="281"/>
      <c r="P8" s="270" t="s">
        <v>9</v>
      </c>
      <c r="Q8" s="272"/>
      <c r="R8" s="272"/>
      <c r="S8" s="273"/>
      <c r="T8" s="274"/>
      <c r="U8" s="282"/>
      <c r="V8" s="270"/>
    </row>
    <row r="9" spans="1:22" ht="48" x14ac:dyDescent="0.25">
      <c r="A9" s="270">
        <v>2025</v>
      </c>
      <c r="B9" s="270" t="s">
        <v>93</v>
      </c>
      <c r="C9" s="270">
        <v>3</v>
      </c>
      <c r="D9" s="270" t="s">
        <v>571</v>
      </c>
      <c r="E9" s="270" t="s">
        <v>572</v>
      </c>
      <c r="F9" s="271">
        <v>45625</v>
      </c>
      <c r="G9" s="279" t="s">
        <v>529</v>
      </c>
      <c r="H9" s="270" t="s">
        <v>573</v>
      </c>
      <c r="I9" s="280">
        <v>89007946</v>
      </c>
      <c r="J9" s="275" t="s">
        <v>574</v>
      </c>
      <c r="K9" s="269" t="s">
        <v>17</v>
      </c>
      <c r="L9" s="269" t="s">
        <v>22</v>
      </c>
      <c r="M9" s="270" t="s">
        <v>8</v>
      </c>
      <c r="N9" s="281" t="s">
        <v>522</v>
      </c>
      <c r="O9" s="270" t="s">
        <v>66</v>
      </c>
      <c r="P9" s="270" t="s">
        <v>9</v>
      </c>
      <c r="Q9" s="272">
        <f t="shared" si="0"/>
        <v>2.25</v>
      </c>
      <c r="R9" s="272">
        <f t="shared" si="1"/>
        <v>4.7</v>
      </c>
      <c r="S9" s="273">
        <v>11</v>
      </c>
      <c r="T9" s="274">
        <f t="shared" si="2"/>
        <v>1.8954545454545455</v>
      </c>
      <c r="U9" s="282" t="s">
        <v>552</v>
      </c>
      <c r="V9" s="270"/>
    </row>
    <row r="10" spans="1:22" ht="24" x14ac:dyDescent="0.25">
      <c r="A10" s="270"/>
      <c r="B10" s="270"/>
      <c r="C10" s="270"/>
      <c r="D10" s="270"/>
      <c r="E10" s="270"/>
      <c r="F10" s="270"/>
      <c r="G10" s="270"/>
      <c r="H10" s="270"/>
      <c r="I10" s="280"/>
      <c r="J10" s="270" t="s">
        <v>575</v>
      </c>
      <c r="K10" s="269"/>
      <c r="L10" s="269"/>
      <c r="M10" s="270"/>
      <c r="N10" s="281"/>
      <c r="O10" s="270"/>
      <c r="P10" s="270" t="s">
        <v>9</v>
      </c>
      <c r="Q10" s="272"/>
      <c r="R10" s="272"/>
      <c r="S10" s="273"/>
      <c r="T10" s="274"/>
      <c r="U10" s="282"/>
      <c r="V10" s="270"/>
    </row>
    <row r="11" spans="1:22" ht="24" x14ac:dyDescent="0.25">
      <c r="A11" s="270"/>
      <c r="B11" s="270"/>
      <c r="C11" s="270"/>
      <c r="D11" s="270"/>
      <c r="E11" s="270"/>
      <c r="F11" s="270"/>
      <c r="G11" s="270"/>
      <c r="H11" s="270"/>
      <c r="I11" s="280"/>
      <c r="J11" s="270" t="s">
        <v>576</v>
      </c>
      <c r="K11" s="269"/>
      <c r="L11" s="269"/>
      <c r="M11" s="270"/>
      <c r="N11" s="281"/>
      <c r="O11" s="281"/>
      <c r="P11" s="270" t="s">
        <v>9</v>
      </c>
      <c r="Q11" s="272"/>
      <c r="R11" s="272"/>
      <c r="S11" s="273"/>
      <c r="T11" s="274"/>
      <c r="U11" s="282"/>
      <c r="V11" s="270"/>
    </row>
    <row r="12" spans="1:22" ht="15" x14ac:dyDescent="0.25"/>
    <row r="13" spans="1:22" ht="15" x14ac:dyDescent="0.25">
      <c r="O13" s="442" t="s">
        <v>577</v>
      </c>
      <c r="P13" s="442"/>
      <c r="Q13" s="442"/>
      <c r="R13" s="442"/>
      <c r="S13" s="442"/>
      <c r="T13" s="31">
        <f>SUM(T3:T12)</f>
        <v>9.714204545454546</v>
      </c>
    </row>
    <row r="14" spans="1:22" ht="15" x14ac:dyDescent="0.25"/>
    <row r="15" spans="1:22" ht="15" x14ac:dyDescent="0.25"/>
    <row r="16" spans="1:22" ht="15" x14ac:dyDescent="0.25">
      <c r="A16" s="5"/>
      <c r="B16" s="5"/>
      <c r="C16" s="5"/>
      <c r="D16" s="5"/>
      <c r="E16" s="5"/>
      <c r="F16" s="433" t="s">
        <v>12</v>
      </c>
      <c r="G16" s="433"/>
      <c r="H16" s="433"/>
      <c r="I16" s="433"/>
      <c r="J16" s="433"/>
      <c r="K16" s="433"/>
      <c r="L16" s="433" t="s">
        <v>13</v>
      </c>
      <c r="M16" s="433"/>
      <c r="N16" s="433"/>
      <c r="O16" s="433"/>
      <c r="P16" s="433"/>
      <c r="Q16" s="433"/>
      <c r="R16" s="433"/>
      <c r="S16" s="433"/>
      <c r="T16" s="5"/>
      <c r="U16" s="5"/>
    </row>
    <row r="17" spans="1:21" ht="15" x14ac:dyDescent="0.25">
      <c r="A17" s="5"/>
      <c r="B17" s="5"/>
      <c r="C17" s="5"/>
      <c r="D17" s="5"/>
      <c r="E17" s="5"/>
      <c r="F17" s="432" t="s">
        <v>14</v>
      </c>
      <c r="G17" s="432"/>
      <c r="H17" s="432"/>
      <c r="I17" s="432"/>
      <c r="J17" s="432"/>
      <c r="K17" s="432"/>
      <c r="L17" s="5"/>
      <c r="M17" s="432" t="s">
        <v>18</v>
      </c>
      <c r="N17" s="432"/>
      <c r="O17" s="432"/>
      <c r="P17" s="432"/>
      <c r="Q17" s="26"/>
      <c r="R17" s="26"/>
      <c r="S17" s="26"/>
      <c r="T17" s="5"/>
      <c r="U17" s="5"/>
    </row>
    <row r="18" spans="1:21" ht="15" x14ac:dyDescent="0.25">
      <c r="A18" s="2"/>
      <c r="B18" s="2"/>
      <c r="C18" s="2"/>
      <c r="D18" s="2"/>
      <c r="E18" s="2"/>
      <c r="F18" s="429" t="s">
        <v>19</v>
      </c>
      <c r="G18" s="429"/>
      <c r="H18" s="429"/>
      <c r="I18" s="429"/>
      <c r="J18" s="429"/>
      <c r="K18" s="429"/>
      <c r="L18" s="429" t="s">
        <v>20</v>
      </c>
      <c r="M18" s="429"/>
      <c r="N18" s="429"/>
      <c r="O18" s="429"/>
      <c r="P18" s="429"/>
      <c r="Q18" s="429"/>
      <c r="R18" s="429"/>
      <c r="S18" s="429"/>
      <c r="T18" s="2"/>
      <c r="U18" s="2"/>
    </row>
    <row r="19" spans="1:21" ht="15" x14ac:dyDescent="0.25">
      <c r="A19" s="2"/>
      <c r="B19" s="2"/>
      <c r="C19" s="2"/>
      <c r="D19" s="2"/>
      <c r="E19" s="2"/>
      <c r="F19" s="429" t="s">
        <v>15</v>
      </c>
      <c r="G19" s="429"/>
      <c r="H19" s="429"/>
      <c r="I19" s="429"/>
      <c r="J19" s="429"/>
      <c r="K19" s="429"/>
      <c r="L19" s="2"/>
      <c r="M19" s="430" t="s">
        <v>16</v>
      </c>
      <c r="N19" s="430"/>
      <c r="O19" s="430"/>
      <c r="P19" s="430"/>
      <c r="Q19" s="29"/>
      <c r="R19" s="29"/>
      <c r="S19" s="29"/>
      <c r="T19" s="2"/>
      <c r="U19" s="2"/>
    </row>
    <row r="20" spans="1:21" ht="15" x14ac:dyDescent="0.25"/>
    <row r="21" spans="1:21" ht="15" x14ac:dyDescent="0.25"/>
    <row r="22" spans="1:21" ht="15" x14ac:dyDescent="0.25"/>
    <row r="23" spans="1:21" ht="15" x14ac:dyDescent="0.25"/>
  </sheetData>
  <mergeCells count="10">
    <mergeCell ref="D1:U1"/>
    <mergeCell ref="F19:K19"/>
    <mergeCell ref="M19:P19"/>
    <mergeCell ref="O13:S13"/>
    <mergeCell ref="F16:K16"/>
    <mergeCell ref="L16:S16"/>
    <mergeCell ref="F17:K17"/>
    <mergeCell ref="M17:P17"/>
    <mergeCell ref="F18:K18"/>
    <mergeCell ref="L18:S18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D4EB5-B045-4308-91DE-FB803AB9A8E3}">
  <dimension ref="A1:Q12"/>
  <sheetViews>
    <sheetView workbookViewId="0">
      <selection activeCell="O22" sqref="O22"/>
    </sheetView>
  </sheetViews>
  <sheetFormatPr baseColWidth="10" defaultRowHeight="15" x14ac:dyDescent="0.25"/>
  <cols>
    <col min="1" max="1" width="5.85546875" style="3" customWidth="1"/>
    <col min="2" max="2" width="6.5703125" style="3" customWidth="1"/>
    <col min="3" max="3" width="5.140625" style="11" customWidth="1"/>
    <col min="4" max="4" width="14.5703125" style="3" customWidth="1"/>
    <col min="5" max="5" width="15.28515625" style="3" customWidth="1"/>
    <col min="6" max="6" width="9.5703125" style="21" customWidth="1"/>
    <col min="7" max="7" width="10.28515625" style="21" customWidth="1"/>
    <col min="8" max="8" width="11" style="21" bestFit="1" customWidth="1"/>
    <col min="9" max="9" width="10.85546875" style="12" bestFit="1" customWidth="1"/>
    <col min="10" max="10" width="13.5703125" style="232" customWidth="1"/>
    <col min="11" max="11" width="16.42578125" style="3" customWidth="1"/>
    <col min="12" max="12" width="17.140625" style="3" customWidth="1"/>
    <col min="13" max="13" width="17" style="32" customWidth="1"/>
    <col min="14" max="14" width="11" style="32" customWidth="1"/>
    <col min="15" max="15" width="10.7109375" style="3" bestFit="1" customWidth="1"/>
    <col min="16" max="16" width="12.42578125" style="3" customWidth="1"/>
    <col min="17" max="17" width="38.5703125" style="3" customWidth="1"/>
    <col min="18" max="16384" width="11.42578125" style="3"/>
  </cols>
  <sheetData>
    <row r="1" spans="1:17" ht="72" customHeight="1" x14ac:dyDescent="0.25">
      <c r="E1" s="448"/>
      <c r="F1" s="448"/>
      <c r="G1" s="448"/>
      <c r="H1" s="448"/>
      <c r="I1" s="448"/>
      <c r="J1" s="448"/>
      <c r="K1" s="448"/>
      <c r="L1" s="448"/>
      <c r="M1" s="448"/>
      <c r="N1" s="448"/>
      <c r="O1" s="448"/>
      <c r="P1" s="448"/>
      <c r="Q1" s="448"/>
    </row>
    <row r="2" spans="1:17" s="214" customFormat="1" ht="36" x14ac:dyDescent="0.2">
      <c r="A2" s="4" t="s">
        <v>6</v>
      </c>
      <c r="B2" s="4" t="s">
        <v>1</v>
      </c>
      <c r="C2" s="4" t="s">
        <v>5</v>
      </c>
      <c r="D2" s="4" t="s">
        <v>578</v>
      </c>
      <c r="E2" s="4" t="s">
        <v>7</v>
      </c>
      <c r="F2" s="4" t="s">
        <v>4</v>
      </c>
      <c r="G2" s="4" t="s">
        <v>87</v>
      </c>
      <c r="H2" s="4" t="s">
        <v>3</v>
      </c>
      <c r="I2" s="4" t="s">
        <v>88</v>
      </c>
      <c r="J2" s="4" t="s">
        <v>2</v>
      </c>
      <c r="K2" s="4" t="s">
        <v>579</v>
      </c>
      <c r="L2" s="4" t="s">
        <v>580</v>
      </c>
      <c r="M2" s="4" t="s">
        <v>581</v>
      </c>
      <c r="N2" s="4" t="s">
        <v>582</v>
      </c>
      <c r="O2" s="30" t="s">
        <v>0</v>
      </c>
      <c r="P2" s="30" t="s">
        <v>635</v>
      </c>
      <c r="Q2" s="30" t="s">
        <v>92</v>
      </c>
    </row>
    <row r="3" spans="1:17" ht="73.5" customHeight="1" x14ac:dyDescent="0.25">
      <c r="A3" s="447">
        <v>2025</v>
      </c>
      <c r="B3" s="447" t="s">
        <v>93</v>
      </c>
      <c r="C3" s="447">
        <v>1</v>
      </c>
      <c r="D3" s="270">
        <v>46373917</v>
      </c>
      <c r="E3" s="275" t="s">
        <v>583</v>
      </c>
      <c r="F3" s="283" t="s">
        <v>17</v>
      </c>
      <c r="G3" s="270" t="s">
        <v>22</v>
      </c>
      <c r="H3" s="270" t="s">
        <v>8</v>
      </c>
      <c r="I3" s="270" t="s">
        <v>61</v>
      </c>
      <c r="J3" s="283" t="s">
        <v>54</v>
      </c>
      <c r="K3" s="447" t="s">
        <v>584</v>
      </c>
      <c r="L3" s="447" t="s">
        <v>585</v>
      </c>
      <c r="M3" s="447" t="s">
        <v>586</v>
      </c>
      <c r="N3" s="452" t="s">
        <v>587</v>
      </c>
      <c r="O3" s="284">
        <v>0</v>
      </c>
      <c r="P3" s="447" t="s">
        <v>552</v>
      </c>
      <c r="Q3" s="447" t="s">
        <v>588</v>
      </c>
    </row>
    <row r="4" spans="1:17" ht="39.75" customHeight="1" x14ac:dyDescent="0.25">
      <c r="A4" s="447"/>
      <c r="B4" s="447"/>
      <c r="C4" s="447"/>
      <c r="D4" s="269"/>
      <c r="E4" s="270" t="s">
        <v>589</v>
      </c>
      <c r="F4" s="285"/>
      <c r="G4" s="285"/>
      <c r="H4" s="270"/>
      <c r="I4" s="270"/>
      <c r="J4" s="283"/>
      <c r="K4" s="447"/>
      <c r="L4" s="447"/>
      <c r="M4" s="447"/>
      <c r="N4" s="452"/>
      <c r="O4" s="284"/>
      <c r="P4" s="447"/>
      <c r="Q4" s="447"/>
    </row>
    <row r="6" spans="1:17" x14ac:dyDescent="0.25">
      <c r="L6" s="453" t="s">
        <v>590</v>
      </c>
      <c r="M6" s="453"/>
      <c r="N6" s="453"/>
      <c r="O6" s="233">
        <f>SUM(O3:O5)</f>
        <v>0</v>
      </c>
    </row>
    <row r="7" spans="1:17" x14ac:dyDescent="0.25">
      <c r="Q7" s="213"/>
    </row>
    <row r="8" spans="1:17" x14ac:dyDescent="0.25">
      <c r="Q8" s="213"/>
    </row>
    <row r="9" spans="1:17" x14ac:dyDescent="0.25">
      <c r="A9" s="2"/>
      <c r="B9" s="2"/>
      <c r="C9" s="2"/>
      <c r="D9" s="2"/>
      <c r="E9" s="2"/>
      <c r="F9" s="431" t="s">
        <v>12</v>
      </c>
      <c r="G9" s="431"/>
      <c r="H9" s="431"/>
      <c r="I9" s="431"/>
      <c r="J9" s="2"/>
      <c r="K9" s="431" t="s">
        <v>13</v>
      </c>
      <c r="L9" s="431"/>
      <c r="M9" s="431"/>
      <c r="N9" s="431"/>
      <c r="O9" s="2"/>
      <c r="P9" s="2"/>
      <c r="Q9" s="2"/>
    </row>
    <row r="10" spans="1:17" x14ac:dyDescent="0.25">
      <c r="A10" s="2"/>
      <c r="B10" s="2"/>
      <c r="C10" s="2"/>
      <c r="D10" s="2"/>
      <c r="E10" s="2"/>
      <c r="F10" s="432" t="s">
        <v>14</v>
      </c>
      <c r="G10" s="432"/>
      <c r="H10" s="432"/>
      <c r="I10" s="432"/>
      <c r="J10" s="2"/>
      <c r="K10" s="432" t="s">
        <v>18</v>
      </c>
      <c r="L10" s="432"/>
      <c r="M10" s="432"/>
      <c r="N10" s="432"/>
      <c r="O10" s="2"/>
      <c r="P10" s="2"/>
      <c r="Q10" s="2"/>
    </row>
    <row r="11" spans="1:17" x14ac:dyDescent="0.25">
      <c r="A11" s="2"/>
      <c r="B11" s="2"/>
      <c r="C11" s="2"/>
      <c r="D11" s="2"/>
      <c r="E11" s="2"/>
      <c r="F11" s="429" t="s">
        <v>19</v>
      </c>
      <c r="G11" s="429"/>
      <c r="H11" s="429"/>
      <c r="I11" s="429"/>
      <c r="J11" s="2"/>
      <c r="K11" s="429" t="s">
        <v>20</v>
      </c>
      <c r="L11" s="429"/>
      <c r="M11" s="429"/>
      <c r="N11" s="429"/>
      <c r="O11" s="2"/>
      <c r="P11" s="2"/>
      <c r="Q11" s="2"/>
    </row>
    <row r="12" spans="1:17" x14ac:dyDescent="0.25">
      <c r="A12" s="2"/>
      <c r="B12" s="2"/>
      <c r="C12" s="2"/>
      <c r="D12" s="2"/>
      <c r="E12" s="2"/>
      <c r="F12" s="429" t="s">
        <v>15</v>
      </c>
      <c r="G12" s="429"/>
      <c r="H12" s="429"/>
      <c r="I12" s="429"/>
      <c r="J12" s="2"/>
      <c r="K12" s="430" t="s">
        <v>16</v>
      </c>
      <c r="L12" s="430"/>
      <c r="M12" s="430"/>
      <c r="N12" s="430"/>
      <c r="O12" s="2"/>
      <c r="P12" s="2"/>
      <c r="Q12" s="2"/>
    </row>
  </sheetData>
  <mergeCells count="19">
    <mergeCell ref="F12:I12"/>
    <mergeCell ref="K12:N12"/>
    <mergeCell ref="L6:N6"/>
    <mergeCell ref="F9:I9"/>
    <mergeCell ref="K9:N9"/>
    <mergeCell ref="F10:I10"/>
    <mergeCell ref="K10:N10"/>
    <mergeCell ref="F11:I11"/>
    <mergeCell ref="K11:N11"/>
    <mergeCell ref="E1:Q1"/>
    <mergeCell ref="A3:A4"/>
    <mergeCell ref="B3:B4"/>
    <mergeCell ref="C3:C4"/>
    <mergeCell ref="K3:K4"/>
    <mergeCell ref="L3:L4"/>
    <mergeCell ref="M3:M4"/>
    <mergeCell ref="N3:N4"/>
    <mergeCell ref="P3:P4"/>
    <mergeCell ref="Q3:Q4"/>
  </mergeCells>
  <dataValidations count="1">
    <dataValidation allowBlank="1" showInputMessage="1" showErrorMessage="1" prompt="Ingrese el autor, si es más de un autor presione la tecla ALT + ENTER para ingresar el segundo y así sucesivamente " sqref="O2:Q2" xr:uid="{34A52B6C-1557-4E92-9EE2-89B90CED3BB3}"/>
  </dataValidations>
  <pageMargins left="0.7" right="0.7" top="0.75" bottom="0.75" header="0.3" footer="0.3"/>
  <pageSetup orientation="portrait" r:id="rId1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D7698-9894-4FF4-8B77-8E0F77480E66}">
  <dimension ref="A1:R6"/>
  <sheetViews>
    <sheetView workbookViewId="0">
      <selection activeCell="L15" sqref="L15"/>
    </sheetView>
  </sheetViews>
  <sheetFormatPr baseColWidth="10" defaultRowHeight="15" x14ac:dyDescent="0.25"/>
  <cols>
    <col min="1" max="1" width="5.85546875" style="3" bestFit="1" customWidth="1"/>
    <col min="2" max="2" width="9.85546875" style="3" bestFit="1" customWidth="1"/>
    <col min="3" max="3" width="5.28515625" style="12" customWidth="1"/>
    <col min="4" max="4" width="13.42578125" style="3" customWidth="1"/>
    <col min="5" max="5" width="26.85546875" style="3" customWidth="1"/>
    <col min="6" max="6" width="13.7109375" style="3" customWidth="1"/>
    <col min="7" max="7" width="12" style="3" customWidth="1"/>
    <col min="8" max="8" width="10.85546875" style="3" customWidth="1"/>
    <col min="9" max="9" width="10.140625" style="3" customWidth="1"/>
    <col min="10" max="10" width="30.7109375" style="3" customWidth="1"/>
    <col min="11" max="11" width="16" style="3" customWidth="1"/>
    <col min="12" max="12" width="13" style="3" customWidth="1"/>
    <col min="13" max="13" width="10.28515625" style="3" customWidth="1"/>
    <col min="14" max="14" width="14.5703125" style="3" customWidth="1"/>
    <col min="15" max="15" width="9.5703125" style="3" customWidth="1"/>
    <col min="16" max="16" width="12.7109375" style="3" customWidth="1"/>
    <col min="17" max="17" width="10.28515625" style="12" customWidth="1"/>
    <col min="18" max="18" width="15.140625" style="3" bestFit="1" customWidth="1"/>
    <col min="19" max="16384" width="11.42578125" style="3"/>
  </cols>
  <sheetData>
    <row r="1" spans="1:18" ht="72" customHeight="1" x14ac:dyDescent="0.25">
      <c r="C1" s="3"/>
      <c r="D1" s="448"/>
      <c r="E1" s="448"/>
      <c r="F1" s="448"/>
      <c r="G1" s="448"/>
      <c r="H1" s="448"/>
      <c r="I1" s="448"/>
      <c r="J1" s="448"/>
      <c r="K1" s="448"/>
      <c r="L1" s="448"/>
      <c r="M1" s="448"/>
      <c r="N1" s="448"/>
      <c r="O1" s="448"/>
      <c r="P1" s="448"/>
      <c r="Q1" s="448"/>
      <c r="R1" s="448"/>
    </row>
    <row r="2" spans="1:18" s="16" customFormat="1" ht="51" x14ac:dyDescent="0.2">
      <c r="A2" s="241" t="s">
        <v>6</v>
      </c>
      <c r="B2" s="241" t="s">
        <v>1</v>
      </c>
      <c r="C2" s="241" t="s">
        <v>5</v>
      </c>
      <c r="D2" s="241" t="s">
        <v>591</v>
      </c>
      <c r="E2" s="241" t="s">
        <v>44</v>
      </c>
      <c r="F2" s="241" t="s">
        <v>88</v>
      </c>
      <c r="G2" s="241" t="s">
        <v>2</v>
      </c>
      <c r="H2" s="241" t="s">
        <v>592</v>
      </c>
      <c r="I2" s="241" t="s">
        <v>593</v>
      </c>
      <c r="J2" s="241" t="s">
        <v>594</v>
      </c>
      <c r="K2" s="241" t="s">
        <v>595</v>
      </c>
      <c r="L2" s="241" t="s">
        <v>596</v>
      </c>
      <c r="M2" s="241" t="s">
        <v>597</v>
      </c>
      <c r="N2" s="241" t="s">
        <v>598</v>
      </c>
      <c r="O2" s="241" t="s">
        <v>525</v>
      </c>
      <c r="P2" s="241" t="s">
        <v>0</v>
      </c>
      <c r="Q2" s="241" t="s">
        <v>635</v>
      </c>
      <c r="R2" s="241" t="s">
        <v>30</v>
      </c>
    </row>
    <row r="3" spans="1:18" s="16" customFormat="1" ht="61.5" customHeight="1" x14ac:dyDescent="0.2">
      <c r="A3" s="273">
        <v>2026</v>
      </c>
      <c r="B3" s="273" t="s">
        <v>93</v>
      </c>
      <c r="C3" s="273">
        <v>1</v>
      </c>
      <c r="D3" s="273">
        <v>16356361</v>
      </c>
      <c r="E3" s="286" t="s">
        <v>599</v>
      </c>
      <c r="F3" s="273" t="s">
        <v>600</v>
      </c>
      <c r="G3" s="273" t="s">
        <v>59</v>
      </c>
      <c r="H3" s="273" t="s">
        <v>601</v>
      </c>
      <c r="I3" s="273" t="s">
        <v>602</v>
      </c>
      <c r="J3" s="273" t="s">
        <v>603</v>
      </c>
      <c r="K3" s="273" t="s">
        <v>634</v>
      </c>
      <c r="L3" s="273" t="s">
        <v>604</v>
      </c>
      <c r="M3" s="273" t="s">
        <v>605</v>
      </c>
      <c r="N3" s="273" t="s">
        <v>606</v>
      </c>
      <c r="O3" s="273">
        <v>2</v>
      </c>
      <c r="P3" s="274">
        <v>0</v>
      </c>
      <c r="Q3" s="273" t="s">
        <v>607</v>
      </c>
      <c r="R3" s="273"/>
    </row>
    <row r="4" spans="1:18" s="16" customFormat="1" ht="63.75" x14ac:dyDescent="0.2">
      <c r="A4" s="273">
        <v>2026</v>
      </c>
      <c r="B4" s="273" t="s">
        <v>93</v>
      </c>
      <c r="C4" s="273">
        <v>1</v>
      </c>
      <c r="D4" s="273">
        <v>41885303</v>
      </c>
      <c r="E4" s="286" t="s">
        <v>608</v>
      </c>
      <c r="F4" s="273" t="s">
        <v>600</v>
      </c>
      <c r="G4" s="273" t="s">
        <v>59</v>
      </c>
      <c r="H4" s="273" t="s">
        <v>601</v>
      </c>
      <c r="I4" s="273" t="s">
        <v>602</v>
      </c>
      <c r="J4" s="273" t="s">
        <v>603</v>
      </c>
      <c r="K4" s="273" t="s">
        <v>634</v>
      </c>
      <c r="L4" s="273" t="s">
        <v>604</v>
      </c>
      <c r="M4" s="273" t="s">
        <v>605</v>
      </c>
      <c r="N4" s="273" t="s">
        <v>606</v>
      </c>
      <c r="O4" s="273">
        <v>2</v>
      </c>
      <c r="P4" s="274">
        <v>0</v>
      </c>
      <c r="Q4" s="273" t="s">
        <v>607</v>
      </c>
      <c r="R4" s="273"/>
    </row>
    <row r="5" spans="1:18" s="16" customFormat="1" ht="12.75" x14ac:dyDescent="0.2">
      <c r="A5" s="173"/>
      <c r="B5" s="173"/>
      <c r="C5" s="173"/>
      <c r="D5" s="173"/>
      <c r="E5" s="173"/>
      <c r="F5" s="173"/>
      <c r="G5" s="173"/>
      <c r="H5" s="173"/>
      <c r="I5" s="173"/>
      <c r="J5" s="173"/>
      <c r="K5" s="173"/>
      <c r="L5" s="173"/>
      <c r="M5" s="173"/>
      <c r="N5" s="173"/>
      <c r="O5" s="173"/>
      <c r="P5" s="203"/>
      <c r="Q5" s="196"/>
      <c r="R5" s="173"/>
    </row>
    <row r="6" spans="1:18" s="16" customFormat="1" ht="12.75" x14ac:dyDescent="0.2">
      <c r="C6" s="164"/>
      <c r="L6" s="245"/>
      <c r="M6" s="454" t="s">
        <v>609</v>
      </c>
      <c r="N6" s="454"/>
      <c r="O6" s="454"/>
      <c r="P6" s="244">
        <f>SUM(P3:P5)</f>
        <v>0</v>
      </c>
      <c r="Q6" s="164"/>
    </row>
  </sheetData>
  <mergeCells count="2">
    <mergeCell ref="M6:O6"/>
    <mergeCell ref="D1:R1"/>
  </mergeCells>
  <pageMargins left="0.7" right="0.7" top="0.75" bottom="0.75" header="0.3" footer="0.3"/>
  <pageSetup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7E6C1-4677-4E7B-B66F-EF8E564D1578}">
  <dimension ref="A1:U43"/>
  <sheetViews>
    <sheetView workbookViewId="0">
      <selection activeCell="S21" sqref="S21"/>
    </sheetView>
  </sheetViews>
  <sheetFormatPr baseColWidth="10" defaultRowHeight="72" customHeight="1" x14ac:dyDescent="0.2"/>
  <cols>
    <col min="1" max="1" width="5.5703125" style="1" bestFit="1" customWidth="1"/>
    <col min="2" max="2" width="7.140625" style="1" customWidth="1"/>
    <col min="3" max="3" width="4.28515625" style="1" bestFit="1" customWidth="1"/>
    <col min="4" max="4" width="12.85546875" style="1" customWidth="1"/>
    <col min="5" max="5" width="8.140625" style="1" bestFit="1" customWidth="1"/>
    <col min="6" max="6" width="15.85546875" style="1" bestFit="1" customWidth="1"/>
    <col min="7" max="7" width="10.85546875" style="1" customWidth="1"/>
    <col min="8" max="8" width="15" style="1" customWidth="1"/>
    <col min="9" max="9" width="11.140625" style="1" bestFit="1" customWidth="1"/>
    <col min="10" max="10" width="14.140625" style="1" bestFit="1" customWidth="1"/>
    <col min="11" max="11" width="15.42578125" style="1" customWidth="1"/>
    <col min="12" max="12" width="9.5703125" style="1" customWidth="1"/>
    <col min="13" max="13" width="10.28515625" style="1" customWidth="1"/>
    <col min="14" max="14" width="7" style="1" customWidth="1"/>
    <col min="15" max="15" width="12.42578125" style="1" bestFit="1" customWidth="1"/>
    <col min="16" max="16" width="12" style="1" customWidth="1"/>
    <col min="17" max="17" width="12.42578125" style="1" customWidth="1"/>
    <col min="18" max="18" width="13.85546875" style="1" customWidth="1"/>
    <col min="19" max="19" width="10.85546875" style="1" customWidth="1"/>
    <col min="20" max="20" width="10.140625" style="212" customWidth="1"/>
    <col min="21" max="21" width="21.28515625" style="1" customWidth="1"/>
    <col min="22" max="16384" width="11.42578125" style="1"/>
  </cols>
  <sheetData>
    <row r="1" spans="1:21" ht="72" customHeight="1" x14ac:dyDescent="0.2">
      <c r="C1" s="33"/>
      <c r="D1" s="33"/>
      <c r="E1" s="33"/>
      <c r="F1" s="33"/>
      <c r="G1" s="33"/>
      <c r="H1" s="33"/>
      <c r="I1" s="444"/>
      <c r="J1" s="444"/>
      <c r="K1" s="444"/>
      <c r="L1" s="444"/>
      <c r="M1" s="444"/>
      <c r="N1" s="444"/>
      <c r="O1" s="444"/>
      <c r="P1" s="444"/>
      <c r="Q1" s="444"/>
      <c r="R1" s="444"/>
      <c r="S1" s="444"/>
      <c r="T1" s="444"/>
    </row>
    <row r="2" spans="1:21" s="220" customFormat="1" ht="72" customHeight="1" x14ac:dyDescent="0.2">
      <c r="A2" s="4" t="s">
        <v>6</v>
      </c>
      <c r="B2" s="4" t="s">
        <v>1</v>
      </c>
      <c r="C2" s="4" t="s">
        <v>5</v>
      </c>
      <c r="D2" s="4" t="s">
        <v>610</v>
      </c>
      <c r="E2" s="4" t="s">
        <v>35</v>
      </c>
      <c r="F2" s="4" t="s">
        <v>611</v>
      </c>
      <c r="G2" s="4" t="s">
        <v>534</v>
      </c>
      <c r="H2" s="4" t="s">
        <v>612</v>
      </c>
      <c r="I2" s="4" t="s">
        <v>613</v>
      </c>
      <c r="J2" s="4" t="s">
        <v>85</v>
      </c>
      <c r="K2" s="4" t="s">
        <v>86</v>
      </c>
      <c r="L2" s="4" t="s">
        <v>4</v>
      </c>
      <c r="M2" s="4" t="s">
        <v>87</v>
      </c>
      <c r="N2" s="4" t="s">
        <v>3</v>
      </c>
      <c r="O2" s="4" t="s">
        <v>88</v>
      </c>
      <c r="P2" s="4" t="s">
        <v>2</v>
      </c>
      <c r="Q2" s="4" t="s">
        <v>89</v>
      </c>
      <c r="R2" s="4" t="s">
        <v>90</v>
      </c>
      <c r="S2" s="4" t="s">
        <v>0</v>
      </c>
      <c r="T2" s="4" t="s">
        <v>635</v>
      </c>
      <c r="U2" s="4" t="s">
        <v>30</v>
      </c>
    </row>
    <row r="3" spans="1:21" s="220" customFormat="1" ht="72" customHeight="1" x14ac:dyDescent="0.2">
      <c r="A3" s="287">
        <v>2025</v>
      </c>
      <c r="B3" s="287" t="s">
        <v>614</v>
      </c>
      <c r="C3" s="287">
        <v>1</v>
      </c>
      <c r="D3" s="270" t="s">
        <v>615</v>
      </c>
      <c r="E3" s="270" t="s">
        <v>616</v>
      </c>
      <c r="F3" s="270" t="s">
        <v>617</v>
      </c>
      <c r="G3" s="270" t="s">
        <v>52</v>
      </c>
      <c r="H3" s="270" t="s">
        <v>618</v>
      </c>
      <c r="I3" s="270" t="s">
        <v>619</v>
      </c>
      <c r="J3" s="270">
        <v>89004182</v>
      </c>
      <c r="K3" s="275" t="s">
        <v>620</v>
      </c>
      <c r="L3" s="270" t="s">
        <v>21</v>
      </c>
      <c r="M3" s="270" t="s">
        <v>22</v>
      </c>
      <c r="N3" s="270" t="s">
        <v>8</v>
      </c>
      <c r="O3" s="270" t="s">
        <v>219</v>
      </c>
      <c r="P3" s="270" t="s">
        <v>26</v>
      </c>
      <c r="Q3" s="270" t="s">
        <v>9</v>
      </c>
      <c r="R3" s="270" t="s">
        <v>669</v>
      </c>
      <c r="S3" s="284">
        <v>0</v>
      </c>
      <c r="T3" s="288" t="s">
        <v>552</v>
      </c>
      <c r="U3" s="288" t="s">
        <v>621</v>
      </c>
    </row>
    <row r="4" spans="1:21" s="220" customFormat="1" ht="12" x14ac:dyDescent="0.2">
      <c r="C4" s="234"/>
      <c r="D4" s="235"/>
      <c r="E4" s="235"/>
      <c r="F4" s="235"/>
      <c r="G4" s="235"/>
      <c r="H4" s="235"/>
      <c r="I4" s="235"/>
      <c r="J4" s="235"/>
      <c r="K4" s="236"/>
      <c r="L4" s="235"/>
      <c r="M4" s="235"/>
      <c r="N4" s="235"/>
      <c r="O4" s="235"/>
      <c r="P4" s="235"/>
      <c r="Q4" s="235"/>
      <c r="R4" s="235"/>
      <c r="S4" s="237"/>
      <c r="T4" s="7"/>
    </row>
    <row r="5" spans="1:21" ht="12.75" x14ac:dyDescent="0.2">
      <c r="P5" s="455" t="s">
        <v>622</v>
      </c>
      <c r="Q5" s="455"/>
      <c r="R5" s="455"/>
      <c r="S5" s="238">
        <f>SUM(S3:S3)</f>
        <v>0</v>
      </c>
      <c r="T5" s="1"/>
    </row>
    <row r="6" spans="1:21" ht="12.75" x14ac:dyDescent="0.2">
      <c r="P6" s="205"/>
      <c r="Q6" s="205"/>
      <c r="R6" s="205"/>
      <c r="S6" s="239"/>
      <c r="T6" s="1"/>
    </row>
    <row r="7" spans="1:21" ht="12.75" x14ac:dyDescent="0.2">
      <c r="Q7" s="205"/>
      <c r="R7" s="205"/>
      <c r="S7" s="205"/>
      <c r="T7" s="239"/>
    </row>
    <row r="8" spans="1:21" s="3" customFormat="1" ht="15" x14ac:dyDescent="0.25">
      <c r="A8" s="5"/>
      <c r="B8" s="5"/>
      <c r="C8" s="5"/>
      <c r="D8" s="5"/>
      <c r="E8" s="5"/>
      <c r="F8" s="5"/>
      <c r="G8" s="433" t="s">
        <v>12</v>
      </c>
      <c r="H8" s="433"/>
      <c r="I8" s="433"/>
      <c r="J8" s="433"/>
      <c r="K8" s="433"/>
      <c r="L8" s="433" t="s">
        <v>13</v>
      </c>
      <c r="M8" s="433"/>
      <c r="N8" s="433"/>
      <c r="O8" s="433"/>
      <c r="P8" s="433"/>
      <c r="Q8" s="433"/>
      <c r="R8" s="5"/>
      <c r="S8" s="5"/>
    </row>
    <row r="9" spans="1:21" s="3" customFormat="1" ht="15" x14ac:dyDescent="0.25">
      <c r="A9" s="5"/>
      <c r="B9" s="5"/>
      <c r="C9" s="5"/>
      <c r="D9" s="5"/>
      <c r="E9" s="5"/>
      <c r="F9" s="5"/>
      <c r="G9" s="432" t="s">
        <v>14</v>
      </c>
      <c r="H9" s="432"/>
      <c r="I9" s="432"/>
      <c r="J9" s="432"/>
      <c r="K9" s="432"/>
      <c r="L9" s="5"/>
      <c r="M9" s="432" t="s">
        <v>18</v>
      </c>
      <c r="N9" s="432"/>
      <c r="O9" s="432"/>
      <c r="P9" s="432"/>
      <c r="Q9" s="5"/>
      <c r="R9" s="5"/>
      <c r="S9" s="5"/>
    </row>
    <row r="10" spans="1:21" s="3" customFormat="1" ht="15" x14ac:dyDescent="0.25">
      <c r="A10" s="2"/>
      <c r="B10" s="2"/>
      <c r="C10" s="2"/>
      <c r="D10" s="2"/>
      <c r="E10" s="2"/>
      <c r="F10" s="2"/>
      <c r="G10" s="429" t="s">
        <v>19</v>
      </c>
      <c r="H10" s="429"/>
      <c r="I10" s="429"/>
      <c r="J10" s="429"/>
      <c r="K10" s="429"/>
      <c r="L10" s="429" t="s">
        <v>20</v>
      </c>
      <c r="M10" s="429"/>
      <c r="N10" s="429"/>
      <c r="O10" s="429"/>
      <c r="P10" s="429"/>
      <c r="Q10" s="429"/>
      <c r="R10" s="2"/>
      <c r="S10" s="2"/>
    </row>
    <row r="11" spans="1:21" s="3" customFormat="1" ht="15" x14ac:dyDescent="0.25">
      <c r="A11" s="2"/>
      <c r="B11" s="2"/>
      <c r="C11" s="2"/>
      <c r="D11" s="2"/>
      <c r="E11" s="2"/>
      <c r="F11" s="2"/>
      <c r="G11" s="429" t="s">
        <v>15</v>
      </c>
      <c r="H11" s="429"/>
      <c r="I11" s="429"/>
      <c r="J11" s="429"/>
      <c r="K11" s="429"/>
      <c r="L11" s="2"/>
      <c r="M11" s="430" t="s">
        <v>16</v>
      </c>
      <c r="N11" s="430"/>
      <c r="O11" s="430"/>
      <c r="P11" s="430"/>
      <c r="Q11" s="2"/>
      <c r="R11" s="2"/>
      <c r="S11" s="2"/>
    </row>
    <row r="12" spans="1:21" ht="12.75" x14ac:dyDescent="0.2">
      <c r="T12" s="1"/>
      <c r="U12" s="212"/>
    </row>
    <row r="13" spans="1:21" ht="12.75" x14ac:dyDescent="0.2">
      <c r="T13" s="1"/>
      <c r="U13" s="212"/>
    </row>
    <row r="14" spans="1:21" ht="12.75" x14ac:dyDescent="0.2"/>
    <row r="15" spans="1:21" ht="12.75" x14ac:dyDescent="0.2"/>
    <row r="16" spans="1:21" ht="12.75" x14ac:dyDescent="0.2"/>
    <row r="17" ht="12.75" x14ac:dyDescent="0.2"/>
    <row r="18" ht="12.75" x14ac:dyDescent="0.2"/>
    <row r="19" ht="12.75" x14ac:dyDescent="0.2"/>
    <row r="20" ht="12.75" x14ac:dyDescent="0.2"/>
    <row r="21" ht="12.75" x14ac:dyDescent="0.2"/>
    <row r="22" ht="12.75" x14ac:dyDescent="0.2"/>
    <row r="23" ht="12.75" x14ac:dyDescent="0.2"/>
    <row r="24" ht="12.75" x14ac:dyDescent="0.2"/>
    <row r="25" ht="12.75" x14ac:dyDescent="0.2"/>
    <row r="26" ht="12.75" x14ac:dyDescent="0.2"/>
    <row r="27" ht="12.75" x14ac:dyDescent="0.2"/>
    <row r="28" ht="12.75" x14ac:dyDescent="0.2"/>
    <row r="29" ht="12.75" x14ac:dyDescent="0.2"/>
    <row r="30" ht="12.75" x14ac:dyDescent="0.2"/>
    <row r="31" ht="12.75" x14ac:dyDescent="0.2"/>
    <row r="32" ht="12.75" x14ac:dyDescent="0.2"/>
    <row r="33" ht="12.75" x14ac:dyDescent="0.2"/>
    <row r="34" ht="12.75" x14ac:dyDescent="0.2"/>
    <row r="35" ht="12.75" x14ac:dyDescent="0.2"/>
    <row r="36" ht="12.75" x14ac:dyDescent="0.2"/>
    <row r="37" ht="12.75" x14ac:dyDescent="0.2"/>
    <row r="38" ht="12.75" x14ac:dyDescent="0.2"/>
    <row r="39" ht="12.75" x14ac:dyDescent="0.2"/>
    <row r="40" ht="12.75" x14ac:dyDescent="0.2"/>
    <row r="41" ht="12.75" x14ac:dyDescent="0.2"/>
    <row r="42" ht="12.75" x14ac:dyDescent="0.2"/>
    <row r="43" ht="12.75" x14ac:dyDescent="0.2"/>
  </sheetData>
  <mergeCells count="10">
    <mergeCell ref="G10:K10"/>
    <mergeCell ref="L10:Q10"/>
    <mergeCell ref="G11:K11"/>
    <mergeCell ref="M11:P11"/>
    <mergeCell ref="I1:T1"/>
    <mergeCell ref="P5:R5"/>
    <mergeCell ref="G8:K8"/>
    <mergeCell ref="L8:Q8"/>
    <mergeCell ref="G9:K9"/>
    <mergeCell ref="M9:P9"/>
  </mergeCells>
  <pageMargins left="0.7" right="0.7" top="0.75" bottom="0.75" header="0.3" footer="0.3"/>
  <pageSetup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8C178-7291-4D17-AEA6-B0FCE5AF358B}">
  <dimension ref="A1:S14"/>
  <sheetViews>
    <sheetView workbookViewId="0">
      <selection activeCell="T5" sqref="T5"/>
    </sheetView>
  </sheetViews>
  <sheetFormatPr baseColWidth="10" defaultRowHeight="15" x14ac:dyDescent="0.25"/>
  <cols>
    <col min="1" max="1" width="5" style="3" bestFit="1" customWidth="1"/>
    <col min="2" max="2" width="9.85546875" style="3" bestFit="1" customWidth="1"/>
    <col min="3" max="3" width="3.5703125" style="3" bestFit="1" customWidth="1"/>
    <col min="4" max="4" width="20.42578125" style="3" customWidth="1"/>
    <col min="5" max="5" width="12" style="3" bestFit="1" customWidth="1"/>
    <col min="6" max="6" width="12" style="3" customWidth="1"/>
    <col min="7" max="7" width="11.42578125" style="3"/>
    <col min="8" max="8" width="18.42578125" style="3" customWidth="1"/>
    <col min="9" max="9" width="9.7109375" style="3" customWidth="1"/>
    <col min="10" max="10" width="10.42578125" style="3" bestFit="1" customWidth="1"/>
    <col min="11" max="11" width="11.42578125" style="3"/>
    <col min="12" max="12" width="16.140625" style="3" customWidth="1"/>
    <col min="13" max="13" width="11.5703125" style="3" customWidth="1"/>
    <col min="14" max="14" width="11.42578125" style="3"/>
    <col min="15" max="15" width="14.42578125" style="3" customWidth="1"/>
    <col min="16" max="16" width="10" style="3" bestFit="1" customWidth="1"/>
    <col min="17" max="17" width="11.42578125" style="3"/>
    <col min="18" max="18" width="27" style="3" customWidth="1"/>
    <col min="19" max="16384" width="11.42578125" style="3"/>
  </cols>
  <sheetData>
    <row r="1" spans="1:19" ht="72" customHeight="1" x14ac:dyDescent="0.25"/>
    <row r="2" spans="1:19" ht="48" x14ac:dyDescent="0.25">
      <c r="A2" s="4" t="s">
        <v>6</v>
      </c>
      <c r="B2" s="4" t="s">
        <v>1</v>
      </c>
      <c r="C2" s="6" t="s">
        <v>5</v>
      </c>
      <c r="D2" s="4" t="s">
        <v>636</v>
      </c>
      <c r="E2" s="4" t="s">
        <v>637</v>
      </c>
      <c r="F2" s="4" t="s">
        <v>638</v>
      </c>
      <c r="G2" s="4" t="s">
        <v>623</v>
      </c>
      <c r="H2" s="4" t="s">
        <v>86</v>
      </c>
      <c r="I2" s="4" t="s">
        <v>4</v>
      </c>
      <c r="J2" s="4" t="s">
        <v>87</v>
      </c>
      <c r="K2" s="4" t="s">
        <v>3</v>
      </c>
      <c r="L2" s="4" t="s">
        <v>88</v>
      </c>
      <c r="M2" s="4" t="s">
        <v>2</v>
      </c>
      <c r="N2" s="4" t="s">
        <v>639</v>
      </c>
      <c r="O2" s="4" t="s">
        <v>90</v>
      </c>
      <c r="P2" s="4" t="s">
        <v>640</v>
      </c>
      <c r="Q2" s="4" t="s">
        <v>91</v>
      </c>
      <c r="R2" s="4" t="s">
        <v>31</v>
      </c>
    </row>
    <row r="3" spans="1:19" ht="77.25" customHeight="1" x14ac:dyDescent="0.25">
      <c r="A3" s="256">
        <v>2026</v>
      </c>
      <c r="B3" s="256" t="s">
        <v>93</v>
      </c>
      <c r="C3" s="256">
        <v>1</v>
      </c>
      <c r="D3" s="256" t="s">
        <v>641</v>
      </c>
      <c r="E3" s="256" t="s">
        <v>642</v>
      </c>
      <c r="F3" s="257">
        <v>2024</v>
      </c>
      <c r="G3" s="250">
        <v>89001325</v>
      </c>
      <c r="H3" s="251" t="s">
        <v>643</v>
      </c>
      <c r="I3" s="240" t="s">
        <v>17</v>
      </c>
      <c r="J3" s="252" t="s">
        <v>10</v>
      </c>
      <c r="K3" s="240" t="s">
        <v>8</v>
      </c>
      <c r="L3" s="253" t="s">
        <v>80</v>
      </c>
      <c r="M3" s="240" t="s">
        <v>644</v>
      </c>
      <c r="N3" s="240" t="s">
        <v>9</v>
      </c>
      <c r="O3" s="456" t="s">
        <v>648</v>
      </c>
      <c r="P3" s="254">
        <v>0</v>
      </c>
      <c r="Q3" s="459" t="s">
        <v>630</v>
      </c>
      <c r="R3" s="459" t="s">
        <v>649</v>
      </c>
      <c r="S3" s="246"/>
    </row>
    <row r="4" spans="1:19" ht="71.25" customHeight="1" x14ac:dyDescent="0.25">
      <c r="A4" s="256">
        <v>2026</v>
      </c>
      <c r="B4" s="256" t="s">
        <v>93</v>
      </c>
      <c r="C4" s="256">
        <v>1</v>
      </c>
      <c r="D4" s="256" t="s">
        <v>641</v>
      </c>
      <c r="E4" s="256" t="s">
        <v>642</v>
      </c>
      <c r="F4" s="257">
        <v>2024</v>
      </c>
      <c r="G4" s="289">
        <v>89007291</v>
      </c>
      <c r="H4" s="255" t="s">
        <v>645</v>
      </c>
      <c r="I4" s="256" t="s">
        <v>21</v>
      </c>
      <c r="J4" s="257" t="s">
        <v>10</v>
      </c>
      <c r="K4" s="256" t="s">
        <v>8</v>
      </c>
      <c r="L4" s="253" t="s">
        <v>80</v>
      </c>
      <c r="M4" s="240" t="s">
        <v>644</v>
      </c>
      <c r="N4" s="240" t="s">
        <v>9</v>
      </c>
      <c r="O4" s="457"/>
      <c r="P4" s="254">
        <v>0</v>
      </c>
      <c r="Q4" s="460"/>
      <c r="R4" s="460"/>
      <c r="S4" s="246"/>
    </row>
    <row r="5" spans="1:19" ht="66.75" customHeight="1" x14ac:dyDescent="0.25">
      <c r="A5" s="256">
        <v>2026</v>
      </c>
      <c r="B5" s="256" t="s">
        <v>93</v>
      </c>
      <c r="C5" s="256">
        <v>1</v>
      </c>
      <c r="D5" s="256" t="s">
        <v>641</v>
      </c>
      <c r="E5" s="256" t="s">
        <v>642</v>
      </c>
      <c r="F5" s="257">
        <v>2024</v>
      </c>
      <c r="G5" s="257">
        <v>1094901176</v>
      </c>
      <c r="H5" s="255" t="s">
        <v>646</v>
      </c>
      <c r="I5" s="256" t="s">
        <v>17</v>
      </c>
      <c r="J5" s="257" t="s">
        <v>22</v>
      </c>
      <c r="K5" s="256" t="s">
        <v>8</v>
      </c>
      <c r="L5" s="258" t="s">
        <v>74</v>
      </c>
      <c r="M5" s="253" t="s">
        <v>29</v>
      </c>
      <c r="N5" s="240" t="s">
        <v>9</v>
      </c>
      <c r="O5" s="458"/>
      <c r="P5" s="254">
        <v>0</v>
      </c>
      <c r="Q5" s="461"/>
      <c r="R5" s="461"/>
      <c r="S5" s="246"/>
    </row>
    <row r="6" spans="1:19" x14ac:dyDescent="0.25">
      <c r="A6" s="247"/>
      <c r="B6" s="247"/>
      <c r="C6" s="247"/>
      <c r="D6" s="247"/>
      <c r="E6" s="247"/>
      <c r="F6" s="247"/>
      <c r="G6" s="247"/>
      <c r="H6" s="247"/>
      <c r="I6" s="247"/>
      <c r="J6" s="247"/>
      <c r="K6" s="247"/>
      <c r="L6" s="247"/>
      <c r="M6" s="247"/>
      <c r="N6" s="247"/>
      <c r="O6" s="247"/>
      <c r="P6" s="247"/>
      <c r="Q6" s="247"/>
      <c r="R6" s="247"/>
      <c r="S6" s="247"/>
    </row>
    <row r="7" spans="1:19" x14ac:dyDescent="0.25">
      <c r="K7" s="248"/>
      <c r="L7" s="455" t="s">
        <v>647</v>
      </c>
      <c r="M7" s="455"/>
      <c r="N7" s="455"/>
      <c r="O7" s="455"/>
      <c r="P7" s="249">
        <f>SUM(P3:P6)</f>
        <v>0</v>
      </c>
    </row>
    <row r="10" spans="1:19" x14ac:dyDescent="0.25">
      <c r="B10" s="2"/>
      <c r="C10" s="2"/>
      <c r="D10" s="2"/>
      <c r="E10" s="2"/>
      <c r="F10" s="431" t="s">
        <v>12</v>
      </c>
      <c r="G10" s="431"/>
      <c r="H10" s="431"/>
      <c r="I10" s="431"/>
      <c r="J10" s="2"/>
      <c r="K10" s="431" t="s">
        <v>13</v>
      </c>
      <c r="L10" s="431"/>
      <c r="M10" s="431"/>
      <c r="N10" s="431"/>
      <c r="O10" s="2"/>
      <c r="P10" s="2"/>
      <c r="Q10" s="2"/>
    </row>
    <row r="11" spans="1:19" ht="12" customHeight="1" x14ac:dyDescent="0.25">
      <c r="B11" s="2"/>
      <c r="C11" s="2"/>
      <c r="D11" s="2"/>
      <c r="E11" s="2"/>
      <c r="F11" s="432" t="s">
        <v>14</v>
      </c>
      <c r="G11" s="432"/>
      <c r="H11" s="432"/>
      <c r="I11" s="432"/>
      <c r="J11" s="2"/>
      <c r="K11" s="432" t="s">
        <v>18</v>
      </c>
      <c r="L11" s="432"/>
      <c r="M11" s="432"/>
      <c r="N11" s="432"/>
      <c r="O11" s="2"/>
      <c r="P11" s="2"/>
      <c r="Q11" s="2"/>
    </row>
    <row r="12" spans="1:19" ht="12" customHeight="1" x14ac:dyDescent="0.25">
      <c r="A12" s="2"/>
      <c r="B12" s="2"/>
      <c r="C12" s="2"/>
      <c r="D12" s="2"/>
      <c r="E12" s="2"/>
      <c r="F12" s="429" t="s">
        <v>19</v>
      </c>
      <c r="G12" s="429"/>
      <c r="H12" s="429"/>
      <c r="I12" s="429"/>
      <c r="J12" s="2"/>
      <c r="K12" s="429" t="s">
        <v>20</v>
      </c>
      <c r="L12" s="429"/>
      <c r="M12" s="429"/>
      <c r="N12" s="429"/>
      <c r="O12" s="2"/>
      <c r="P12" s="2"/>
      <c r="Q12" s="2"/>
    </row>
    <row r="13" spans="1:19" ht="12" customHeight="1" x14ac:dyDescent="0.25">
      <c r="A13" s="2"/>
      <c r="B13" s="2"/>
      <c r="C13" s="2"/>
      <c r="D13" s="2"/>
      <c r="E13" s="2"/>
      <c r="F13" s="429" t="s">
        <v>15</v>
      </c>
      <c r="G13" s="429"/>
      <c r="H13" s="429"/>
      <c r="I13" s="429"/>
      <c r="J13" s="2"/>
      <c r="K13" s="430" t="s">
        <v>16</v>
      </c>
      <c r="L13" s="430"/>
      <c r="M13" s="430"/>
      <c r="N13" s="430"/>
      <c r="O13" s="2"/>
      <c r="P13" s="2"/>
      <c r="Q13" s="2"/>
    </row>
    <row r="14" spans="1:19" x14ac:dyDescent="0.25">
      <c r="E14" s="429"/>
      <c r="F14" s="429"/>
      <c r="G14" s="429"/>
      <c r="H14" s="429"/>
      <c r="I14" s="429"/>
      <c r="J14" s="27"/>
      <c r="K14" s="2"/>
      <c r="L14" s="430"/>
      <c r="M14" s="430"/>
      <c r="N14" s="430"/>
      <c r="O14" s="430"/>
      <c r="P14" s="430"/>
      <c r="Q14" s="1"/>
    </row>
  </sheetData>
  <mergeCells count="14">
    <mergeCell ref="O3:O5"/>
    <mergeCell ref="Q3:Q5"/>
    <mergeCell ref="R3:R5"/>
    <mergeCell ref="L7:O7"/>
    <mergeCell ref="F10:I10"/>
    <mergeCell ref="K10:N10"/>
    <mergeCell ref="E14:I14"/>
    <mergeCell ref="L14:P14"/>
    <mergeCell ref="F11:I11"/>
    <mergeCell ref="K11:N11"/>
    <mergeCell ref="F12:I12"/>
    <mergeCell ref="K12:N12"/>
    <mergeCell ref="F13:I13"/>
    <mergeCell ref="K13:N13"/>
  </mergeCells>
  <pageMargins left="0.7" right="0.7" top="0.75" bottom="0.75" header="0.3" footer="0.3"/>
  <pageSetup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AE379-B147-40EE-8A7E-EA80B28E6303}">
  <dimension ref="A1:T123"/>
  <sheetViews>
    <sheetView workbookViewId="0">
      <selection activeCell="R11" sqref="R11"/>
    </sheetView>
  </sheetViews>
  <sheetFormatPr baseColWidth="10" defaultRowHeight="71.25" customHeight="1" x14ac:dyDescent="0.2"/>
  <cols>
    <col min="1" max="1" width="5.85546875" style="262" bestFit="1" customWidth="1"/>
    <col min="2" max="2" width="8.28515625" style="262" customWidth="1"/>
    <col min="3" max="3" width="5" style="262" bestFit="1" customWidth="1"/>
    <col min="4" max="4" width="11.85546875" style="262" customWidth="1"/>
    <col min="5" max="5" width="13.85546875" style="262" customWidth="1"/>
    <col min="6" max="6" width="12.140625" style="262" customWidth="1"/>
    <col min="7" max="7" width="12.7109375" style="262" bestFit="1" customWidth="1"/>
    <col min="8" max="8" width="18.42578125" style="262" customWidth="1"/>
    <col min="9" max="9" width="13.140625" style="262" bestFit="1" customWidth="1"/>
    <col min="10" max="10" width="11.7109375" style="262" customWidth="1"/>
    <col min="11" max="11" width="11" style="262" customWidth="1"/>
    <col min="12" max="12" width="14" style="262" customWidth="1"/>
    <col min="13" max="13" width="13" style="262" customWidth="1"/>
    <col min="14" max="14" width="18" style="262" customWidth="1"/>
    <col min="15" max="15" width="13.42578125" style="262" customWidth="1"/>
    <col min="16" max="16" width="10.28515625" style="262" customWidth="1"/>
    <col min="17" max="17" width="12" style="262" bestFit="1" customWidth="1"/>
    <col min="18" max="18" width="32.85546875" style="262" customWidth="1"/>
    <col min="19" max="16384" width="11.42578125" style="262"/>
  </cols>
  <sheetData>
    <row r="1" spans="1:20" s="220" customFormat="1" ht="72" customHeight="1" x14ac:dyDescent="0.2">
      <c r="C1" s="28"/>
      <c r="D1" s="28"/>
      <c r="E1" s="259"/>
      <c r="F1" s="28"/>
      <c r="G1" s="465"/>
      <c r="H1" s="465"/>
      <c r="I1" s="465"/>
      <c r="J1" s="465"/>
      <c r="K1" s="465"/>
      <c r="L1" s="465"/>
      <c r="M1" s="465"/>
      <c r="N1" s="465"/>
      <c r="O1" s="465"/>
      <c r="P1" s="465"/>
      <c r="Q1" s="465"/>
      <c r="R1" s="465"/>
    </row>
    <row r="2" spans="1:20" s="220" customFormat="1" ht="60" x14ac:dyDescent="0.2">
      <c r="A2" s="6" t="s">
        <v>6</v>
      </c>
      <c r="B2" s="4" t="s">
        <v>1</v>
      </c>
      <c r="C2" s="6" t="s">
        <v>5</v>
      </c>
      <c r="D2" s="4" t="s">
        <v>650</v>
      </c>
      <c r="E2" s="4" t="s">
        <v>651</v>
      </c>
      <c r="F2" s="4" t="s">
        <v>652</v>
      </c>
      <c r="G2" s="4" t="s">
        <v>653</v>
      </c>
      <c r="H2" s="4" t="s">
        <v>86</v>
      </c>
      <c r="I2" s="4" t="s">
        <v>4</v>
      </c>
      <c r="J2" s="4" t="s">
        <v>87</v>
      </c>
      <c r="K2" s="4" t="s">
        <v>3</v>
      </c>
      <c r="L2" s="4" t="s">
        <v>88</v>
      </c>
      <c r="M2" s="4" t="s">
        <v>2</v>
      </c>
      <c r="N2" s="4" t="s">
        <v>639</v>
      </c>
      <c r="O2" s="4" t="s">
        <v>654</v>
      </c>
      <c r="P2" s="4" t="s">
        <v>655</v>
      </c>
      <c r="Q2" s="4" t="s">
        <v>91</v>
      </c>
      <c r="R2" s="4" t="s">
        <v>31</v>
      </c>
    </row>
    <row r="3" spans="1:20" s="260" customFormat="1" ht="36" x14ac:dyDescent="0.2">
      <c r="A3" s="447">
        <v>2025</v>
      </c>
      <c r="B3" s="447" t="s">
        <v>25</v>
      </c>
      <c r="C3" s="447">
        <v>1</v>
      </c>
      <c r="D3" s="447" t="s">
        <v>656</v>
      </c>
      <c r="E3" s="447" t="s">
        <v>657</v>
      </c>
      <c r="F3" s="466">
        <v>45642</v>
      </c>
      <c r="G3" s="270">
        <v>16786435</v>
      </c>
      <c r="H3" s="275" t="s">
        <v>658</v>
      </c>
      <c r="I3" s="269" t="s">
        <v>21</v>
      </c>
      <c r="J3" s="269" t="s">
        <v>11</v>
      </c>
      <c r="K3" s="269" t="s">
        <v>8</v>
      </c>
      <c r="L3" s="270" t="s">
        <v>659</v>
      </c>
      <c r="M3" s="281" t="s">
        <v>29</v>
      </c>
      <c r="N3" s="270" t="s">
        <v>660</v>
      </c>
      <c r="O3" s="467" t="s">
        <v>670</v>
      </c>
      <c r="P3" s="290">
        <v>12.7</v>
      </c>
      <c r="Q3" s="468" t="s">
        <v>661</v>
      </c>
      <c r="R3" s="469" t="s">
        <v>662</v>
      </c>
      <c r="T3" s="261"/>
    </row>
    <row r="4" spans="1:20" ht="36" x14ac:dyDescent="0.2">
      <c r="A4" s="447"/>
      <c r="B4" s="447"/>
      <c r="C4" s="447"/>
      <c r="D4" s="447"/>
      <c r="E4" s="447"/>
      <c r="F4" s="447"/>
      <c r="G4" s="270">
        <v>41948277</v>
      </c>
      <c r="H4" s="275" t="s">
        <v>663</v>
      </c>
      <c r="I4" s="269" t="s">
        <v>21</v>
      </c>
      <c r="J4" s="269" t="s">
        <v>11</v>
      </c>
      <c r="K4" s="269" t="s">
        <v>8</v>
      </c>
      <c r="L4" s="270" t="s">
        <v>659</v>
      </c>
      <c r="M4" s="281" t="s">
        <v>29</v>
      </c>
      <c r="N4" s="270" t="s">
        <v>660</v>
      </c>
      <c r="O4" s="467"/>
      <c r="P4" s="290">
        <v>12.7</v>
      </c>
      <c r="Q4" s="468"/>
      <c r="R4" s="469"/>
    </row>
    <row r="5" spans="1:20" ht="36" x14ac:dyDescent="0.2">
      <c r="A5" s="447"/>
      <c r="B5" s="447"/>
      <c r="C5" s="447"/>
      <c r="D5" s="447"/>
      <c r="E5" s="447"/>
      <c r="F5" s="447"/>
      <c r="G5" s="270">
        <v>41948811</v>
      </c>
      <c r="H5" s="275" t="s">
        <v>664</v>
      </c>
      <c r="I5" s="269" t="s">
        <v>21</v>
      </c>
      <c r="J5" s="269" t="s">
        <v>11</v>
      </c>
      <c r="K5" s="269" t="s">
        <v>8</v>
      </c>
      <c r="L5" s="270" t="s">
        <v>659</v>
      </c>
      <c r="M5" s="281" t="s">
        <v>29</v>
      </c>
      <c r="N5" s="270" t="s">
        <v>660</v>
      </c>
      <c r="O5" s="467"/>
      <c r="P5" s="290">
        <v>12.7</v>
      </c>
      <c r="Q5" s="468"/>
      <c r="R5" s="469"/>
    </row>
    <row r="6" spans="1:20" ht="12" x14ac:dyDescent="0.2"/>
    <row r="7" spans="1:20" ht="15" x14ac:dyDescent="0.25">
      <c r="K7" s="263"/>
      <c r="L7" s="263"/>
      <c r="M7" s="453" t="s">
        <v>665</v>
      </c>
      <c r="N7" s="453"/>
      <c r="O7" s="453"/>
      <c r="P7" s="233">
        <f>SUM(P3:P6)</f>
        <v>38.099999999999994</v>
      </c>
      <c r="Q7" s="263"/>
      <c r="R7" s="263"/>
    </row>
    <row r="8" spans="1:20" ht="15" x14ac:dyDescent="0.25">
      <c r="E8" s="235"/>
      <c r="F8" s="235"/>
      <c r="G8" s="3"/>
      <c r="H8" s="264"/>
      <c r="I8" s="264"/>
      <c r="J8" s="264"/>
      <c r="K8" s="235"/>
      <c r="L8" s="265"/>
      <c r="M8" s="235"/>
      <c r="N8" s="235"/>
      <c r="O8" s="266"/>
      <c r="P8" s="235"/>
      <c r="Q8" s="235"/>
      <c r="R8" s="267"/>
    </row>
    <row r="9" spans="1:20" ht="15" x14ac:dyDescent="0.25">
      <c r="E9" s="235"/>
      <c r="F9" s="235"/>
      <c r="G9" s="3"/>
      <c r="H9" s="264"/>
      <c r="I9" s="264"/>
      <c r="J9" s="264"/>
      <c r="K9" s="235"/>
      <c r="L9" s="265"/>
      <c r="M9" s="235"/>
      <c r="N9" s="235"/>
      <c r="O9" s="266"/>
      <c r="P9" s="235"/>
      <c r="Q9" s="235"/>
      <c r="R9" s="267"/>
    </row>
    <row r="10" spans="1:20" ht="15" x14ac:dyDescent="0.25">
      <c r="E10" s="463" t="s">
        <v>666</v>
      </c>
      <c r="F10" s="463"/>
      <c r="G10" s="463"/>
      <c r="H10" s="463"/>
      <c r="I10" s="267"/>
      <c r="J10" s="267"/>
      <c r="K10" s="267"/>
      <c r="L10" s="267"/>
      <c r="M10" s="464" t="s">
        <v>13</v>
      </c>
      <c r="N10" s="464"/>
      <c r="O10" s="464"/>
      <c r="P10" s="267"/>
      <c r="Q10" s="267"/>
      <c r="R10" s="267"/>
    </row>
    <row r="11" spans="1:20" ht="15" x14ac:dyDescent="0.25">
      <c r="E11" s="432" t="s">
        <v>14</v>
      </c>
      <c r="F11" s="432"/>
      <c r="G11" s="432"/>
      <c r="H11" s="432"/>
      <c r="I11" s="26"/>
      <c r="J11" s="26"/>
      <c r="K11" s="26"/>
      <c r="L11" s="26"/>
      <c r="M11" s="462" t="s">
        <v>18</v>
      </c>
      <c r="N11" s="462"/>
      <c r="O11" s="462"/>
      <c r="P11" s="7"/>
      <c r="Q11" s="5"/>
      <c r="R11" s="3"/>
    </row>
    <row r="12" spans="1:20" ht="15" x14ac:dyDescent="0.25">
      <c r="E12" s="429" t="s">
        <v>65</v>
      </c>
      <c r="F12" s="429"/>
      <c r="G12" s="429"/>
      <c r="H12" s="429"/>
      <c r="I12" s="27"/>
      <c r="J12" s="27"/>
      <c r="K12" s="27"/>
      <c r="L12" s="27"/>
      <c r="M12" s="27"/>
      <c r="N12" s="28" t="s">
        <v>20</v>
      </c>
      <c r="O12" s="28"/>
      <c r="P12" s="10"/>
      <c r="Q12" s="5"/>
      <c r="R12" s="3"/>
    </row>
    <row r="13" spans="1:20" ht="15" x14ac:dyDescent="0.25">
      <c r="E13" s="429" t="s">
        <v>15</v>
      </c>
      <c r="F13" s="429"/>
      <c r="G13" s="429"/>
      <c r="H13" s="429"/>
      <c r="I13" s="27"/>
      <c r="J13" s="27"/>
      <c r="K13" s="27"/>
      <c r="L13" s="27"/>
      <c r="M13" s="2"/>
      <c r="N13" s="29" t="s">
        <v>16</v>
      </c>
      <c r="O13" s="29"/>
      <c r="P13" s="10"/>
      <c r="Q13" s="2"/>
      <c r="R13" s="3"/>
    </row>
    <row r="14" spans="1:20" ht="15" x14ac:dyDescent="0.25">
      <c r="E14" s="3"/>
      <c r="F14" s="3"/>
      <c r="G14" s="27"/>
      <c r="H14" s="3"/>
      <c r="I14" s="3"/>
      <c r="J14" s="3"/>
      <c r="K14" s="3"/>
      <c r="L14" s="3"/>
      <c r="M14" s="3"/>
      <c r="N14" s="3"/>
      <c r="O14" s="3"/>
      <c r="P14" s="12"/>
      <c r="Q14" s="3"/>
      <c r="R14" s="3"/>
    </row>
    <row r="15" spans="1:20" ht="12" x14ac:dyDescent="0.2"/>
    <row r="16" spans="1:20" ht="12" x14ac:dyDescent="0.2"/>
    <row r="17" ht="12" x14ac:dyDescent="0.2"/>
    <row r="18" ht="12" x14ac:dyDescent="0.2"/>
    <row r="19" ht="12" x14ac:dyDescent="0.2"/>
    <row r="20" ht="12" x14ac:dyDescent="0.2"/>
    <row r="21" ht="12" x14ac:dyDescent="0.2"/>
    <row r="22" ht="12" x14ac:dyDescent="0.2"/>
    <row r="23" ht="12" x14ac:dyDescent="0.2"/>
    <row r="24" ht="12" x14ac:dyDescent="0.2"/>
    <row r="25" ht="12" x14ac:dyDescent="0.2"/>
    <row r="26" ht="12" x14ac:dyDescent="0.2"/>
    <row r="27" ht="12" x14ac:dyDescent="0.2"/>
    <row r="28" ht="12" x14ac:dyDescent="0.2"/>
    <row r="29" ht="12" x14ac:dyDescent="0.2"/>
    <row r="30" ht="12" x14ac:dyDescent="0.2"/>
    <row r="31" ht="12" x14ac:dyDescent="0.2"/>
    <row r="32" ht="12" x14ac:dyDescent="0.2"/>
    <row r="33" ht="12" x14ac:dyDescent="0.2"/>
    <row r="34" ht="12" x14ac:dyDescent="0.2"/>
    <row r="35" ht="12" x14ac:dyDescent="0.2"/>
    <row r="36" ht="12" x14ac:dyDescent="0.2"/>
    <row r="37" ht="12" x14ac:dyDescent="0.2"/>
    <row r="38" ht="12" x14ac:dyDescent="0.2"/>
    <row r="39" ht="12" x14ac:dyDescent="0.2"/>
    <row r="40" ht="12" x14ac:dyDescent="0.2"/>
    <row r="41" ht="12" x14ac:dyDescent="0.2"/>
    <row r="42" ht="12" x14ac:dyDescent="0.2"/>
    <row r="43" ht="12" x14ac:dyDescent="0.2"/>
    <row r="44" ht="12" x14ac:dyDescent="0.2"/>
    <row r="45" ht="12" x14ac:dyDescent="0.2"/>
    <row r="46" ht="12" x14ac:dyDescent="0.2"/>
    <row r="47" ht="12" x14ac:dyDescent="0.2"/>
    <row r="48" ht="12" x14ac:dyDescent="0.2"/>
    <row r="49" ht="12" x14ac:dyDescent="0.2"/>
    <row r="50" ht="12" x14ac:dyDescent="0.2"/>
    <row r="51" ht="12" x14ac:dyDescent="0.2"/>
    <row r="52" ht="12" x14ac:dyDescent="0.2"/>
    <row r="53" ht="12" x14ac:dyDescent="0.2"/>
    <row r="54" ht="12" x14ac:dyDescent="0.2"/>
    <row r="55" ht="12" x14ac:dyDescent="0.2"/>
    <row r="56" ht="12" x14ac:dyDescent="0.2"/>
    <row r="57" ht="12" x14ac:dyDescent="0.2"/>
    <row r="58" ht="12" x14ac:dyDescent="0.2"/>
    <row r="59" ht="12" x14ac:dyDescent="0.2"/>
    <row r="60" ht="12" x14ac:dyDescent="0.2"/>
    <row r="61" ht="12" x14ac:dyDescent="0.2"/>
    <row r="62" ht="12" x14ac:dyDescent="0.2"/>
    <row r="63" ht="12" x14ac:dyDescent="0.2"/>
    <row r="64" ht="12" x14ac:dyDescent="0.2"/>
    <row r="65" ht="12" x14ac:dyDescent="0.2"/>
    <row r="66" ht="12" x14ac:dyDescent="0.2"/>
    <row r="67" ht="12" x14ac:dyDescent="0.2"/>
    <row r="68" ht="12" x14ac:dyDescent="0.2"/>
    <row r="69" ht="12" x14ac:dyDescent="0.2"/>
    <row r="70" ht="12" x14ac:dyDescent="0.2"/>
    <row r="71" ht="12" x14ac:dyDescent="0.2"/>
    <row r="72" ht="12" x14ac:dyDescent="0.2"/>
    <row r="73" ht="12" x14ac:dyDescent="0.2"/>
    <row r="74" ht="12" x14ac:dyDescent="0.2"/>
    <row r="75" ht="12" x14ac:dyDescent="0.2"/>
    <row r="76" ht="12" x14ac:dyDescent="0.2"/>
    <row r="77" ht="12" x14ac:dyDescent="0.2"/>
    <row r="78" ht="12" x14ac:dyDescent="0.2"/>
    <row r="79" ht="12" x14ac:dyDescent="0.2"/>
    <row r="80" ht="12" x14ac:dyDescent="0.2"/>
    <row r="81" ht="12" x14ac:dyDescent="0.2"/>
    <row r="82" ht="12" x14ac:dyDescent="0.2"/>
    <row r="83" ht="12" x14ac:dyDescent="0.2"/>
    <row r="84" ht="12" x14ac:dyDescent="0.2"/>
    <row r="85" ht="12" x14ac:dyDescent="0.2"/>
    <row r="86" ht="12" x14ac:dyDescent="0.2"/>
    <row r="87" ht="12" x14ac:dyDescent="0.2"/>
    <row r="88" ht="12" x14ac:dyDescent="0.2"/>
    <row r="89" ht="12" x14ac:dyDescent="0.2"/>
    <row r="90" ht="12" x14ac:dyDescent="0.2"/>
    <row r="91" ht="12" x14ac:dyDescent="0.2"/>
    <row r="92" ht="12" x14ac:dyDescent="0.2"/>
    <row r="93" ht="12" x14ac:dyDescent="0.2"/>
    <row r="94" ht="12" x14ac:dyDescent="0.2"/>
    <row r="95" ht="12" x14ac:dyDescent="0.2"/>
    <row r="96" ht="12" x14ac:dyDescent="0.2"/>
    <row r="97" ht="12" x14ac:dyDescent="0.2"/>
    <row r="98" ht="12" x14ac:dyDescent="0.2"/>
    <row r="99" ht="12" x14ac:dyDescent="0.2"/>
    <row r="100" ht="12" x14ac:dyDescent="0.2"/>
    <row r="101" ht="12" x14ac:dyDescent="0.2"/>
    <row r="102" ht="12" x14ac:dyDescent="0.2"/>
    <row r="103" ht="12" x14ac:dyDescent="0.2"/>
    <row r="104" ht="12" x14ac:dyDescent="0.2"/>
    <row r="105" ht="12" x14ac:dyDescent="0.2"/>
    <row r="106" ht="12" x14ac:dyDescent="0.2"/>
    <row r="107" ht="12" x14ac:dyDescent="0.2"/>
    <row r="108" ht="12" x14ac:dyDescent="0.2"/>
    <row r="109" ht="12" x14ac:dyDescent="0.2"/>
    <row r="110" ht="12" x14ac:dyDescent="0.2"/>
    <row r="111" ht="12" x14ac:dyDescent="0.2"/>
    <row r="112" ht="12" x14ac:dyDescent="0.2"/>
    <row r="113" ht="12" x14ac:dyDescent="0.2"/>
    <row r="114" ht="12" x14ac:dyDescent="0.2"/>
    <row r="115" ht="12" x14ac:dyDescent="0.2"/>
    <row r="116" ht="12" x14ac:dyDescent="0.2"/>
    <row r="117" ht="12" x14ac:dyDescent="0.2"/>
    <row r="118" ht="12" x14ac:dyDescent="0.2"/>
    <row r="119" ht="12" x14ac:dyDescent="0.2"/>
    <row r="120" ht="12" x14ac:dyDescent="0.2"/>
    <row r="121" ht="12" x14ac:dyDescent="0.2"/>
    <row r="122" ht="12" x14ac:dyDescent="0.2"/>
    <row r="123" ht="12" x14ac:dyDescent="0.2"/>
  </sheetData>
  <mergeCells count="17">
    <mergeCell ref="G1:R1"/>
    <mergeCell ref="A3:A5"/>
    <mergeCell ref="B3:B5"/>
    <mergeCell ref="C3:C5"/>
    <mergeCell ref="D3:D5"/>
    <mergeCell ref="E3:E5"/>
    <mergeCell ref="F3:F5"/>
    <mergeCell ref="O3:O5"/>
    <mergeCell ref="Q3:Q5"/>
    <mergeCell ref="R3:R5"/>
    <mergeCell ref="E11:H11"/>
    <mergeCell ref="M11:O11"/>
    <mergeCell ref="E12:H12"/>
    <mergeCell ref="E13:H13"/>
    <mergeCell ref="M7:O7"/>
    <mergeCell ref="E10:H10"/>
    <mergeCell ref="M10:O10"/>
  </mergeCells>
  <pageMargins left="0.7" right="0.7" top="0.75" bottom="0.75" header="0.3" footer="0.3"/>
  <pageSetup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1A163-52A8-438D-867C-7BF2B826BCC4}">
  <sheetPr>
    <tabColor theme="6" tint="0.39997558519241921"/>
  </sheetPr>
  <dimension ref="A1:L41"/>
  <sheetViews>
    <sheetView workbookViewId="0">
      <selection activeCell="M13" sqref="M13"/>
    </sheetView>
  </sheetViews>
  <sheetFormatPr baseColWidth="10" defaultRowHeight="12.75" x14ac:dyDescent="0.2"/>
  <cols>
    <col min="1" max="1" width="5.5703125" style="321" customWidth="1"/>
    <col min="2" max="2" width="27.5703125" style="321" bestFit="1" customWidth="1"/>
    <col min="3" max="3" width="14" style="321" bestFit="1" customWidth="1"/>
    <col min="4" max="4" width="29" style="173" customWidth="1"/>
    <col min="5" max="5" width="8.85546875" style="321" bestFit="1" customWidth="1"/>
    <col min="6" max="6" width="10.5703125" style="321" bestFit="1" customWidth="1"/>
    <col min="7" max="7" width="10" style="321" bestFit="1" customWidth="1"/>
    <col min="8" max="8" width="12.28515625" style="321" customWidth="1"/>
    <col min="9" max="9" width="11.28515625" style="321" bestFit="1" customWidth="1"/>
    <col min="10" max="10" width="8.42578125" style="321" bestFit="1" customWidth="1"/>
    <col min="11" max="11" width="14.28515625" style="321" customWidth="1"/>
    <col min="12" max="12" width="44.7109375" style="173" customWidth="1"/>
    <col min="13" max="16384" width="11.42578125" style="321"/>
  </cols>
  <sheetData>
    <row r="1" spans="1:12" ht="21.75" customHeight="1" x14ac:dyDescent="0.2">
      <c r="A1" s="470" t="s">
        <v>994</v>
      </c>
      <c r="B1" s="471"/>
      <c r="C1" s="471"/>
      <c r="D1" s="471"/>
      <c r="E1" s="471"/>
      <c r="F1" s="471"/>
      <c r="G1" s="471"/>
      <c r="H1" s="471"/>
      <c r="I1" s="471"/>
      <c r="J1" s="471"/>
      <c r="K1" s="471"/>
      <c r="L1" s="471"/>
    </row>
    <row r="2" spans="1:12" ht="21.75" customHeight="1" x14ac:dyDescent="0.2">
      <c r="A2" s="470" t="s">
        <v>1017</v>
      </c>
      <c r="B2" s="471"/>
      <c r="C2" s="471"/>
      <c r="D2" s="471"/>
      <c r="E2" s="471"/>
      <c r="F2" s="471"/>
      <c r="G2" s="471"/>
      <c r="H2" s="471"/>
      <c r="I2" s="471"/>
      <c r="J2" s="471"/>
      <c r="K2" s="471"/>
      <c r="L2" s="471"/>
    </row>
    <row r="3" spans="1:12" ht="38.25" x14ac:dyDescent="0.2">
      <c r="A3" s="391" t="s">
        <v>5</v>
      </c>
      <c r="B3" s="392" t="s">
        <v>32</v>
      </c>
      <c r="C3" s="392" t="s">
        <v>748</v>
      </c>
      <c r="D3" s="392" t="s">
        <v>749</v>
      </c>
      <c r="E3" s="392" t="s">
        <v>750</v>
      </c>
      <c r="F3" s="392" t="s">
        <v>751</v>
      </c>
      <c r="G3" s="392" t="s">
        <v>87</v>
      </c>
      <c r="H3" s="393" t="s">
        <v>752</v>
      </c>
      <c r="I3" s="394" t="s">
        <v>753</v>
      </c>
      <c r="J3" s="394" t="s">
        <v>1018</v>
      </c>
      <c r="K3" s="395" t="s">
        <v>755</v>
      </c>
      <c r="L3" s="392" t="s">
        <v>30</v>
      </c>
    </row>
    <row r="4" spans="1:12" ht="38.25" x14ac:dyDescent="0.2">
      <c r="A4" s="319">
        <v>1</v>
      </c>
      <c r="B4" s="351" t="s">
        <v>523</v>
      </c>
      <c r="C4" s="319">
        <v>29332068</v>
      </c>
      <c r="D4" s="351" t="s">
        <v>767</v>
      </c>
      <c r="E4" s="350">
        <v>40203</v>
      </c>
      <c r="F4" s="319" t="s">
        <v>21</v>
      </c>
      <c r="G4" s="319" t="s">
        <v>11</v>
      </c>
      <c r="H4" s="319">
        <v>4.99</v>
      </c>
      <c r="I4" s="319" t="s">
        <v>760</v>
      </c>
      <c r="J4" s="402">
        <v>1.3</v>
      </c>
      <c r="K4" s="320" t="s">
        <v>768</v>
      </c>
      <c r="L4" s="351" t="s">
        <v>1019</v>
      </c>
    </row>
    <row r="5" spans="1:12" ht="25.5" x14ac:dyDescent="0.2">
      <c r="A5" s="319">
        <v>2</v>
      </c>
      <c r="B5" s="351" t="s">
        <v>73</v>
      </c>
      <c r="C5" s="319">
        <v>24675452</v>
      </c>
      <c r="D5" s="351" t="s">
        <v>779</v>
      </c>
      <c r="E5" s="322">
        <v>42955</v>
      </c>
      <c r="F5" s="319" t="s">
        <v>17</v>
      </c>
      <c r="G5" s="319" t="s">
        <v>22</v>
      </c>
      <c r="H5" s="359">
        <v>5</v>
      </c>
      <c r="I5" s="319" t="s">
        <v>760</v>
      </c>
      <c r="J5" s="295">
        <v>9</v>
      </c>
      <c r="K5" s="320" t="s">
        <v>768</v>
      </c>
      <c r="L5" s="351" t="s">
        <v>780</v>
      </c>
    </row>
    <row r="6" spans="1:12" ht="25.5" x14ac:dyDescent="0.2">
      <c r="A6" s="319">
        <v>3</v>
      </c>
      <c r="B6" s="347" t="s">
        <v>67</v>
      </c>
      <c r="C6" s="319">
        <v>328307</v>
      </c>
      <c r="D6" s="351" t="s">
        <v>815</v>
      </c>
      <c r="E6" s="350">
        <v>35828</v>
      </c>
      <c r="F6" s="319" t="s">
        <v>17</v>
      </c>
      <c r="G6" s="361" t="s">
        <v>22</v>
      </c>
      <c r="H6" s="381">
        <v>4.75</v>
      </c>
      <c r="I6" s="320" t="s">
        <v>760</v>
      </c>
      <c r="J6" s="402">
        <v>6</v>
      </c>
      <c r="K6" s="320" t="s">
        <v>986</v>
      </c>
      <c r="L6" s="351" t="s">
        <v>816</v>
      </c>
    </row>
    <row r="7" spans="1:12" ht="25.5" x14ac:dyDescent="0.2">
      <c r="A7" s="319">
        <v>4</v>
      </c>
      <c r="B7" s="347" t="s">
        <v>250</v>
      </c>
      <c r="C7" s="319">
        <v>36310363</v>
      </c>
      <c r="D7" s="351" t="s">
        <v>822</v>
      </c>
      <c r="E7" s="322">
        <v>42955</v>
      </c>
      <c r="F7" s="319" t="s">
        <v>17</v>
      </c>
      <c r="G7" s="319" t="s">
        <v>10</v>
      </c>
      <c r="H7" s="319">
        <v>4.7699999999999996</v>
      </c>
      <c r="I7" s="319" t="s">
        <v>772</v>
      </c>
      <c r="J7" s="402">
        <v>2</v>
      </c>
      <c r="K7" s="320" t="s">
        <v>1020</v>
      </c>
      <c r="L7" s="351" t="s">
        <v>255</v>
      </c>
    </row>
    <row r="8" spans="1:12" ht="25.5" x14ac:dyDescent="0.2">
      <c r="A8" s="319">
        <v>5</v>
      </c>
      <c r="B8" s="347" t="s">
        <v>274</v>
      </c>
      <c r="C8" s="319">
        <v>70420310</v>
      </c>
      <c r="D8" s="351" t="s">
        <v>845</v>
      </c>
      <c r="E8" s="350">
        <v>40973</v>
      </c>
      <c r="F8" s="319" t="s">
        <v>21</v>
      </c>
      <c r="G8" s="319" t="s">
        <v>10</v>
      </c>
      <c r="H8" s="359">
        <v>5</v>
      </c>
      <c r="I8" s="319" t="s">
        <v>760</v>
      </c>
      <c r="J8" s="402">
        <v>2</v>
      </c>
      <c r="K8" s="320" t="s">
        <v>986</v>
      </c>
      <c r="L8" s="351" t="s">
        <v>279</v>
      </c>
    </row>
    <row r="9" spans="1:12" ht="38.25" x14ac:dyDescent="0.2">
      <c r="A9" s="319">
        <v>6</v>
      </c>
      <c r="B9" s="347" t="s">
        <v>63</v>
      </c>
      <c r="C9" s="319">
        <v>18416179</v>
      </c>
      <c r="D9" s="351" t="s">
        <v>861</v>
      </c>
      <c r="E9" s="350">
        <v>39199</v>
      </c>
      <c r="F9" s="319" t="s">
        <v>17</v>
      </c>
      <c r="G9" s="319" t="s">
        <v>10</v>
      </c>
      <c r="H9" s="381">
        <v>5</v>
      </c>
      <c r="I9" s="320" t="s">
        <v>797</v>
      </c>
      <c r="J9" s="402">
        <v>11</v>
      </c>
      <c r="K9" s="320" t="s">
        <v>986</v>
      </c>
      <c r="L9" s="351" t="s">
        <v>302</v>
      </c>
    </row>
    <row r="10" spans="1:12" ht="25.5" x14ac:dyDescent="0.2">
      <c r="A10" s="319">
        <v>7</v>
      </c>
      <c r="B10" s="347" t="s">
        <v>63</v>
      </c>
      <c r="C10" s="319">
        <v>7503647</v>
      </c>
      <c r="D10" s="351" t="s">
        <v>862</v>
      </c>
      <c r="E10" s="350">
        <v>28185</v>
      </c>
      <c r="F10" s="319" t="s">
        <v>17</v>
      </c>
      <c r="G10" s="319" t="s">
        <v>11</v>
      </c>
      <c r="H10" s="381">
        <v>5</v>
      </c>
      <c r="I10" s="320" t="s">
        <v>760</v>
      </c>
      <c r="J10" s="402">
        <v>9</v>
      </c>
      <c r="K10" s="320" t="s">
        <v>986</v>
      </c>
      <c r="L10" s="351" t="s">
        <v>304</v>
      </c>
    </row>
    <row r="11" spans="1:12" ht="25.5" x14ac:dyDescent="0.2">
      <c r="A11" s="319">
        <v>8</v>
      </c>
      <c r="B11" s="347" t="s">
        <v>63</v>
      </c>
      <c r="C11" s="353">
        <v>30397494</v>
      </c>
      <c r="D11" s="298" t="s">
        <v>864</v>
      </c>
      <c r="E11" s="322">
        <v>42955</v>
      </c>
      <c r="F11" s="319" t="s">
        <v>17</v>
      </c>
      <c r="G11" s="319" t="s">
        <v>22</v>
      </c>
      <c r="H11" s="381">
        <v>4.9000000000000004</v>
      </c>
      <c r="I11" s="320" t="s">
        <v>760</v>
      </c>
      <c r="J11" s="402">
        <v>6</v>
      </c>
      <c r="K11" s="320" t="s">
        <v>986</v>
      </c>
      <c r="L11" s="351" t="s">
        <v>307</v>
      </c>
    </row>
    <row r="12" spans="1:12" ht="25.5" x14ac:dyDescent="0.2">
      <c r="A12" s="319">
        <v>9</v>
      </c>
      <c r="B12" s="347" t="s">
        <v>309</v>
      </c>
      <c r="C12" s="353">
        <v>9732960</v>
      </c>
      <c r="D12" s="298" t="s">
        <v>316</v>
      </c>
      <c r="E12" s="322">
        <v>41872</v>
      </c>
      <c r="F12" s="319" t="s">
        <v>21</v>
      </c>
      <c r="G12" s="319" t="s">
        <v>11</v>
      </c>
      <c r="H12" s="319">
        <v>4.6100000000000003</v>
      </c>
      <c r="I12" s="319" t="s">
        <v>760</v>
      </c>
      <c r="J12" s="402">
        <v>6</v>
      </c>
      <c r="K12" s="320" t="s">
        <v>986</v>
      </c>
      <c r="L12" s="351" t="s">
        <v>318</v>
      </c>
    </row>
    <row r="13" spans="1:12" ht="25.5" x14ac:dyDescent="0.2">
      <c r="A13" s="319">
        <v>10</v>
      </c>
      <c r="B13" s="347" t="s">
        <v>870</v>
      </c>
      <c r="C13" s="319">
        <v>9736170</v>
      </c>
      <c r="D13" s="351" t="s">
        <v>876</v>
      </c>
      <c r="E13" s="350">
        <v>40959</v>
      </c>
      <c r="F13" s="319" t="s">
        <v>21</v>
      </c>
      <c r="G13" s="319" t="s">
        <v>10</v>
      </c>
      <c r="H13" s="359">
        <v>5</v>
      </c>
      <c r="I13" s="319" t="s">
        <v>760</v>
      </c>
      <c r="J13" s="402">
        <v>9</v>
      </c>
      <c r="K13" s="320" t="s">
        <v>986</v>
      </c>
      <c r="L13" s="351" t="s">
        <v>326</v>
      </c>
    </row>
    <row r="14" spans="1:12" ht="25.5" x14ac:dyDescent="0.2">
      <c r="A14" s="319">
        <v>11</v>
      </c>
      <c r="B14" s="347" t="s">
        <v>870</v>
      </c>
      <c r="C14" s="319">
        <v>7558022</v>
      </c>
      <c r="D14" s="351" t="s">
        <v>880</v>
      </c>
      <c r="E14" s="350">
        <v>37165</v>
      </c>
      <c r="F14" s="319" t="s">
        <v>17</v>
      </c>
      <c r="G14" s="319" t="s">
        <v>10</v>
      </c>
      <c r="H14" s="381">
        <v>5</v>
      </c>
      <c r="I14" s="320" t="s">
        <v>760</v>
      </c>
      <c r="J14" s="402">
        <v>2</v>
      </c>
      <c r="K14" s="320" t="s">
        <v>986</v>
      </c>
      <c r="L14" s="351" t="s">
        <v>881</v>
      </c>
    </row>
    <row r="15" spans="1:12" ht="25.5" x14ac:dyDescent="0.2">
      <c r="A15" s="319">
        <v>12</v>
      </c>
      <c r="B15" s="347" t="s">
        <v>899</v>
      </c>
      <c r="C15" s="353">
        <v>7540648</v>
      </c>
      <c r="D15" s="351" t="s">
        <v>900</v>
      </c>
      <c r="E15" s="350">
        <v>42955</v>
      </c>
      <c r="F15" s="319" t="s">
        <v>17</v>
      </c>
      <c r="G15" s="319" t="s">
        <v>10</v>
      </c>
      <c r="H15" s="381">
        <v>4.99</v>
      </c>
      <c r="I15" s="319" t="s">
        <v>760</v>
      </c>
      <c r="J15" s="402">
        <v>2</v>
      </c>
      <c r="K15" s="320" t="s">
        <v>986</v>
      </c>
      <c r="L15" s="351" t="s">
        <v>357</v>
      </c>
    </row>
    <row r="16" spans="1:12" ht="25.5" x14ac:dyDescent="0.2">
      <c r="A16" s="319">
        <v>13</v>
      </c>
      <c r="B16" s="351" t="s">
        <v>78</v>
      </c>
      <c r="C16" s="319">
        <v>52079098</v>
      </c>
      <c r="D16" s="351" t="s">
        <v>911</v>
      </c>
      <c r="E16" s="350">
        <v>39660</v>
      </c>
      <c r="F16" s="319" t="s">
        <v>21</v>
      </c>
      <c r="G16" s="319" t="s">
        <v>11</v>
      </c>
      <c r="H16" s="320">
        <v>4.78</v>
      </c>
      <c r="I16" s="320" t="s">
        <v>760</v>
      </c>
      <c r="J16" s="295">
        <v>6</v>
      </c>
      <c r="K16" s="320" t="s">
        <v>986</v>
      </c>
      <c r="L16" s="351" t="s">
        <v>912</v>
      </c>
    </row>
    <row r="17" spans="1:12" ht="25.5" x14ac:dyDescent="0.2">
      <c r="A17" s="319">
        <v>14</v>
      </c>
      <c r="B17" s="351" t="s">
        <v>927</v>
      </c>
      <c r="C17" s="353">
        <v>89000820</v>
      </c>
      <c r="D17" s="298" t="s">
        <v>935</v>
      </c>
      <c r="E17" s="322">
        <v>41872</v>
      </c>
      <c r="F17" s="319" t="s">
        <v>17</v>
      </c>
      <c r="G17" s="319" t="s">
        <v>22</v>
      </c>
      <c r="H17" s="319">
        <v>4.91</v>
      </c>
      <c r="I17" s="319" t="s">
        <v>760</v>
      </c>
      <c r="J17" s="402">
        <v>2</v>
      </c>
      <c r="K17" s="320" t="s">
        <v>986</v>
      </c>
      <c r="L17" s="351" t="s">
        <v>402</v>
      </c>
    </row>
    <row r="18" spans="1:12" ht="51" x14ac:dyDescent="0.2">
      <c r="A18" s="319">
        <v>15</v>
      </c>
      <c r="B18" s="347" t="s">
        <v>53</v>
      </c>
      <c r="C18" s="319">
        <v>24488950</v>
      </c>
      <c r="D18" s="351" t="s">
        <v>963</v>
      </c>
      <c r="E18" s="350">
        <v>29983</v>
      </c>
      <c r="F18" s="319" t="s">
        <v>17</v>
      </c>
      <c r="G18" s="319" t="s">
        <v>11</v>
      </c>
      <c r="H18" s="359">
        <v>4.18</v>
      </c>
      <c r="I18" s="319" t="s">
        <v>760</v>
      </c>
      <c r="J18" s="319">
        <v>4.8</v>
      </c>
      <c r="K18" s="320" t="s">
        <v>986</v>
      </c>
      <c r="L18" s="351" t="s">
        <v>1021</v>
      </c>
    </row>
    <row r="19" spans="1:12" ht="25.5" x14ac:dyDescent="0.2">
      <c r="A19" s="319">
        <v>16</v>
      </c>
      <c r="B19" s="347" t="s">
        <v>58</v>
      </c>
      <c r="C19" s="319">
        <v>42086140</v>
      </c>
      <c r="D19" s="351" t="s">
        <v>971</v>
      </c>
      <c r="E19" s="350">
        <v>39142</v>
      </c>
      <c r="F19" s="319" t="s">
        <v>21</v>
      </c>
      <c r="G19" s="319" t="s">
        <v>10</v>
      </c>
      <c r="H19" s="359">
        <v>4.7</v>
      </c>
      <c r="I19" s="319" t="s">
        <v>772</v>
      </c>
      <c r="J19" s="402">
        <v>6</v>
      </c>
      <c r="K19" s="320" t="s">
        <v>986</v>
      </c>
      <c r="L19" s="351" t="s">
        <v>460</v>
      </c>
    </row>
    <row r="20" spans="1:12" ht="25.5" x14ac:dyDescent="0.2">
      <c r="A20" s="319">
        <v>17</v>
      </c>
      <c r="B20" s="347" t="s">
        <v>58</v>
      </c>
      <c r="C20" s="353">
        <v>18497593</v>
      </c>
      <c r="D20" s="298" t="s">
        <v>461</v>
      </c>
      <c r="E20" s="350">
        <v>42955</v>
      </c>
      <c r="F20" s="319" t="s">
        <v>17</v>
      </c>
      <c r="G20" s="319" t="s">
        <v>10</v>
      </c>
      <c r="H20" s="359">
        <v>4.95</v>
      </c>
      <c r="I20" s="319" t="s">
        <v>760</v>
      </c>
      <c r="J20" s="402">
        <v>2</v>
      </c>
      <c r="K20" s="320" t="s">
        <v>986</v>
      </c>
      <c r="L20" s="351" t="s">
        <v>463</v>
      </c>
    </row>
    <row r="21" spans="1:12" ht="51" x14ac:dyDescent="0.2">
      <c r="A21" s="319">
        <v>18</v>
      </c>
      <c r="B21" s="347" t="s">
        <v>57</v>
      </c>
      <c r="C21" s="319">
        <v>16369647</v>
      </c>
      <c r="D21" s="351" t="s">
        <v>488</v>
      </c>
      <c r="E21" s="350">
        <v>41436</v>
      </c>
      <c r="F21" s="319" t="s">
        <v>21</v>
      </c>
      <c r="G21" s="319" t="s">
        <v>11</v>
      </c>
      <c r="H21" s="359">
        <v>4.45</v>
      </c>
      <c r="I21" s="319" t="s">
        <v>760</v>
      </c>
      <c r="J21" s="319">
        <v>4.8</v>
      </c>
      <c r="K21" s="320" t="s">
        <v>986</v>
      </c>
      <c r="L21" s="351" t="s">
        <v>1022</v>
      </c>
    </row>
    <row r="22" spans="1:12" ht="25.5" x14ac:dyDescent="0.2">
      <c r="A22" s="319">
        <v>19</v>
      </c>
      <c r="B22" s="347" t="s">
        <v>57</v>
      </c>
      <c r="C22" s="319">
        <v>41934400</v>
      </c>
      <c r="D22" s="351" t="s">
        <v>981</v>
      </c>
      <c r="E22" s="350">
        <v>40947</v>
      </c>
      <c r="F22" s="319" t="s">
        <v>21</v>
      </c>
      <c r="G22" s="319" t="s">
        <v>10</v>
      </c>
      <c r="H22" s="359">
        <v>4.9800000000000004</v>
      </c>
      <c r="I22" s="319" t="s">
        <v>760</v>
      </c>
      <c r="J22" s="402">
        <v>2</v>
      </c>
      <c r="K22" s="320" t="s">
        <v>986</v>
      </c>
      <c r="L22" s="351" t="s">
        <v>494</v>
      </c>
    </row>
    <row r="23" spans="1:12" ht="25.5" x14ac:dyDescent="0.2">
      <c r="A23" s="319">
        <v>20</v>
      </c>
      <c r="B23" s="351" t="s">
        <v>501</v>
      </c>
      <c r="C23" s="353">
        <v>7556508</v>
      </c>
      <c r="D23" s="351" t="s">
        <v>985</v>
      </c>
      <c r="E23" s="350">
        <v>42955</v>
      </c>
      <c r="F23" s="319" t="s">
        <v>17</v>
      </c>
      <c r="G23" s="319" t="s">
        <v>10</v>
      </c>
      <c r="H23" s="359">
        <v>4.97</v>
      </c>
      <c r="I23" s="319" t="s">
        <v>760</v>
      </c>
      <c r="J23" s="402">
        <v>2</v>
      </c>
      <c r="K23" s="320" t="s">
        <v>986</v>
      </c>
      <c r="L23" s="351" t="s">
        <v>506</v>
      </c>
    </row>
    <row r="24" spans="1:12" ht="38.25" x14ac:dyDescent="0.2">
      <c r="A24" s="319">
        <v>21</v>
      </c>
      <c r="B24" s="347" t="s">
        <v>522</v>
      </c>
      <c r="C24" s="352">
        <v>24809412</v>
      </c>
      <c r="D24" s="351" t="s">
        <v>179</v>
      </c>
      <c r="E24" s="322">
        <v>42955</v>
      </c>
      <c r="F24" s="320" t="s">
        <v>21</v>
      </c>
      <c r="G24" s="320" t="s">
        <v>10</v>
      </c>
      <c r="H24" s="320">
        <v>4.76</v>
      </c>
      <c r="I24" s="320" t="s">
        <v>772</v>
      </c>
      <c r="J24" s="402">
        <v>0.9</v>
      </c>
      <c r="K24" s="320" t="s">
        <v>757</v>
      </c>
      <c r="L24" s="351" t="s">
        <v>1023</v>
      </c>
    </row>
    <row r="25" spans="1:12" ht="38.25" x14ac:dyDescent="0.2">
      <c r="A25" s="319">
        <v>22</v>
      </c>
      <c r="B25" s="347" t="s">
        <v>67</v>
      </c>
      <c r="C25" s="353">
        <v>29327038</v>
      </c>
      <c r="D25" s="351" t="s">
        <v>807</v>
      </c>
      <c r="E25" s="322">
        <v>42955</v>
      </c>
      <c r="F25" s="319" t="s">
        <v>17</v>
      </c>
      <c r="G25" s="319" t="s">
        <v>10</v>
      </c>
      <c r="H25" s="359">
        <v>5</v>
      </c>
      <c r="I25" s="319" t="s">
        <v>772</v>
      </c>
      <c r="J25" s="295">
        <v>0.9</v>
      </c>
      <c r="K25" s="320" t="s">
        <v>757</v>
      </c>
      <c r="L25" s="351" t="s">
        <v>1024</v>
      </c>
    </row>
    <row r="26" spans="1:12" ht="38.25" x14ac:dyDescent="0.2">
      <c r="A26" s="319">
        <v>23</v>
      </c>
      <c r="B26" s="351" t="s">
        <v>27</v>
      </c>
      <c r="C26" s="319">
        <v>17655304</v>
      </c>
      <c r="D26" s="351" t="s">
        <v>917</v>
      </c>
      <c r="E26" s="350">
        <v>40947</v>
      </c>
      <c r="F26" s="319" t="s">
        <v>21</v>
      </c>
      <c r="G26" s="319" t="s">
        <v>11</v>
      </c>
      <c r="H26" s="359">
        <v>5</v>
      </c>
      <c r="I26" s="319" t="s">
        <v>772</v>
      </c>
      <c r="J26" s="402">
        <v>0.9</v>
      </c>
      <c r="K26" s="320" t="s">
        <v>757</v>
      </c>
      <c r="L26" s="351" t="s">
        <v>1025</v>
      </c>
    </row>
    <row r="27" spans="1:12" ht="38.25" x14ac:dyDescent="0.2">
      <c r="A27" s="319">
        <v>24</v>
      </c>
      <c r="B27" s="347" t="s">
        <v>944</v>
      </c>
      <c r="C27" s="319">
        <v>14231147</v>
      </c>
      <c r="D27" s="351" t="s">
        <v>948</v>
      </c>
      <c r="E27" s="350">
        <v>34176</v>
      </c>
      <c r="F27" s="319" t="s">
        <v>21</v>
      </c>
      <c r="G27" s="319" t="s">
        <v>11</v>
      </c>
      <c r="H27" s="319">
        <v>4.58</v>
      </c>
      <c r="I27" s="319" t="s">
        <v>760</v>
      </c>
      <c r="J27" s="402">
        <v>1.9</v>
      </c>
      <c r="K27" s="320" t="s">
        <v>757</v>
      </c>
      <c r="L27" s="351" t="s">
        <v>1026</v>
      </c>
    </row>
    <row r="29" spans="1:12" x14ac:dyDescent="0.2">
      <c r="A29" s="389" t="s">
        <v>1027</v>
      </c>
      <c r="B29" s="153"/>
      <c r="C29" s="422"/>
      <c r="D29" s="153"/>
      <c r="F29" s="427"/>
      <c r="G29" s="422"/>
      <c r="H29" s="422"/>
      <c r="I29" s="422"/>
      <c r="J29" s="422"/>
    </row>
    <row r="30" spans="1:12" x14ac:dyDescent="0.2">
      <c r="A30" s="389"/>
      <c r="B30" s="153"/>
      <c r="C30" s="422"/>
      <c r="D30" s="153"/>
      <c r="F30" s="427"/>
      <c r="G30" s="422"/>
      <c r="H30" s="422"/>
      <c r="I30" s="422"/>
      <c r="J30" s="422"/>
    </row>
    <row r="31" spans="1:12" x14ac:dyDescent="0.2">
      <c r="A31" s="389"/>
      <c r="B31" s="153"/>
      <c r="C31" s="422"/>
      <c r="D31" s="153"/>
      <c r="F31" s="427"/>
      <c r="G31" s="422"/>
      <c r="H31" s="422"/>
      <c r="I31" s="422"/>
      <c r="J31" s="422"/>
    </row>
    <row r="32" spans="1:12" ht="25.5" x14ac:dyDescent="0.2">
      <c r="A32" s="389"/>
      <c r="B32" s="153"/>
      <c r="C32" s="422"/>
      <c r="D32" s="424" t="s">
        <v>96</v>
      </c>
      <c r="F32" s="427"/>
      <c r="G32" s="437" t="s">
        <v>1004</v>
      </c>
      <c r="H32" s="437"/>
      <c r="I32" s="437"/>
      <c r="J32" s="437"/>
    </row>
    <row r="33" spans="1:12" x14ac:dyDescent="0.2">
      <c r="A33" s="389"/>
      <c r="B33" s="173"/>
      <c r="C33" s="390"/>
      <c r="D33" s="423" t="s">
        <v>14</v>
      </c>
      <c r="E33" s="390"/>
      <c r="F33" s="176"/>
      <c r="G33" s="438" t="s">
        <v>18</v>
      </c>
      <c r="H33" s="438"/>
      <c r="I33" s="438"/>
      <c r="J33" s="438"/>
    </row>
    <row r="34" spans="1:12" x14ac:dyDescent="0.2">
      <c r="A34" s="422"/>
      <c r="B34" s="173"/>
      <c r="C34" s="176"/>
      <c r="D34" s="424" t="s">
        <v>65</v>
      </c>
      <c r="E34" s="176"/>
      <c r="F34" s="439" t="s">
        <v>20</v>
      </c>
      <c r="G34" s="439"/>
      <c r="H34" s="439"/>
      <c r="I34" s="439"/>
      <c r="J34" s="439"/>
      <c r="K34" s="439"/>
    </row>
    <row r="35" spans="1:12" x14ac:dyDescent="0.2">
      <c r="B35" s="173"/>
      <c r="C35" s="176"/>
      <c r="D35" s="424" t="s">
        <v>15</v>
      </c>
      <c r="E35" s="176"/>
      <c r="F35" s="176"/>
      <c r="G35" s="173"/>
      <c r="H35" s="439" t="s">
        <v>16</v>
      </c>
      <c r="I35" s="439"/>
      <c r="J35" s="176"/>
    </row>
    <row r="41" spans="1:12" x14ac:dyDescent="0.2">
      <c r="L41" s="321"/>
    </row>
  </sheetData>
  <mergeCells count="6">
    <mergeCell ref="H35:I35"/>
    <mergeCell ref="A1:L1"/>
    <mergeCell ref="A2:L2"/>
    <mergeCell ref="G32:J32"/>
    <mergeCell ref="G33:J33"/>
    <mergeCell ref="F34:K34"/>
  </mergeCells>
  <pageMargins left="0.70866141732283472" right="0.70866141732283472" top="0.74803149606299213" bottom="0.74803149606299213" header="0.31496062992125984" footer="0.31496062992125984"/>
  <pageSetup paperSize="258" scale="75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C7172-2EAD-42DE-8FD1-0E546ACCD1EE}">
  <sheetPr>
    <tabColor theme="6" tint="0.39997558519241921"/>
  </sheetPr>
  <dimension ref="A1:L31"/>
  <sheetViews>
    <sheetView workbookViewId="0">
      <selection activeCell="B28" sqref="B28"/>
    </sheetView>
  </sheetViews>
  <sheetFormatPr baseColWidth="10" defaultRowHeight="12.75" x14ac:dyDescent="0.2"/>
  <cols>
    <col min="1" max="1" width="5.42578125" style="321" customWidth="1"/>
    <col min="2" max="2" width="27.42578125" style="321" customWidth="1"/>
    <col min="3" max="3" width="16" style="321" customWidth="1"/>
    <col min="4" max="4" width="38.5703125" style="173" customWidth="1"/>
    <col min="5" max="5" width="11.5703125" style="321" customWidth="1"/>
    <col min="6" max="6" width="12.85546875" style="321" customWidth="1"/>
    <col min="7" max="7" width="10" style="321" bestFit="1" customWidth="1"/>
    <col min="8" max="8" width="14.28515625" style="321" customWidth="1"/>
    <col min="9" max="9" width="13.5703125" style="321" customWidth="1"/>
    <col min="10" max="10" width="12.85546875" style="321" customWidth="1"/>
    <col min="11" max="11" width="9.5703125" style="321" customWidth="1"/>
    <col min="12" max="12" width="17.140625" style="321" customWidth="1"/>
    <col min="13" max="16384" width="11.42578125" style="321"/>
  </cols>
  <sheetData>
    <row r="1" spans="1:12" ht="20.25" customHeight="1" x14ac:dyDescent="0.2">
      <c r="A1" s="470" t="s">
        <v>994</v>
      </c>
      <c r="B1" s="471"/>
      <c r="C1" s="471"/>
      <c r="D1" s="471"/>
      <c r="E1" s="471"/>
      <c r="F1" s="471"/>
      <c r="G1" s="471"/>
      <c r="H1" s="471"/>
      <c r="I1" s="471"/>
      <c r="J1" s="471"/>
      <c r="K1" s="471"/>
      <c r="L1" s="471"/>
    </row>
    <row r="2" spans="1:12" ht="20.25" customHeight="1" x14ac:dyDescent="0.2">
      <c r="A2" s="470" t="s">
        <v>995</v>
      </c>
      <c r="B2" s="471"/>
      <c r="C2" s="471"/>
      <c r="D2" s="471"/>
      <c r="E2" s="471"/>
      <c r="F2" s="471"/>
      <c r="G2" s="471"/>
      <c r="H2" s="471"/>
      <c r="I2" s="471"/>
      <c r="J2" s="471"/>
      <c r="K2" s="471"/>
      <c r="L2" s="471"/>
    </row>
    <row r="3" spans="1:12" ht="38.25" x14ac:dyDescent="0.2">
      <c r="A3" s="391" t="s">
        <v>5</v>
      </c>
      <c r="B3" s="392" t="s">
        <v>32</v>
      </c>
      <c r="C3" s="392" t="s">
        <v>748</v>
      </c>
      <c r="D3" s="392" t="s">
        <v>749</v>
      </c>
      <c r="E3" s="392" t="s">
        <v>750</v>
      </c>
      <c r="F3" s="392" t="s">
        <v>751</v>
      </c>
      <c r="G3" s="392" t="s">
        <v>87</v>
      </c>
      <c r="H3" s="393" t="s">
        <v>752</v>
      </c>
      <c r="I3" s="394" t="s">
        <v>753</v>
      </c>
      <c r="J3" s="394" t="s">
        <v>996</v>
      </c>
      <c r="K3" s="395" t="s">
        <v>755</v>
      </c>
      <c r="L3" s="392" t="s">
        <v>30</v>
      </c>
    </row>
    <row r="4" spans="1:12" ht="21.75" customHeight="1" x14ac:dyDescent="0.2">
      <c r="A4" s="38">
        <v>1</v>
      </c>
      <c r="B4" s="347" t="s">
        <v>60</v>
      </c>
      <c r="C4" s="348">
        <v>14702760</v>
      </c>
      <c r="D4" s="396" t="s">
        <v>467</v>
      </c>
      <c r="E4" s="360">
        <v>45107</v>
      </c>
      <c r="F4" s="348" t="s">
        <v>17</v>
      </c>
      <c r="G4" s="319" t="s">
        <v>62</v>
      </c>
      <c r="H4" s="361">
        <v>4.97</v>
      </c>
      <c r="I4" s="319" t="s">
        <v>759</v>
      </c>
      <c r="J4" s="38">
        <v>2</v>
      </c>
      <c r="K4" s="320" t="s">
        <v>757</v>
      </c>
      <c r="L4" s="351"/>
    </row>
    <row r="5" spans="1:12" ht="21.75" customHeight="1" x14ac:dyDescent="0.2">
      <c r="A5" s="38">
        <v>2</v>
      </c>
      <c r="B5" s="351" t="s">
        <v>523</v>
      </c>
      <c r="C5" s="348">
        <v>41916725</v>
      </c>
      <c r="D5" s="396" t="s">
        <v>770</v>
      </c>
      <c r="E5" s="350">
        <v>44963</v>
      </c>
      <c r="F5" s="320" t="s">
        <v>17</v>
      </c>
      <c r="G5" s="319" t="s">
        <v>62</v>
      </c>
      <c r="H5" s="359">
        <v>4.95</v>
      </c>
      <c r="I5" s="319" t="s">
        <v>759</v>
      </c>
      <c r="J5" s="38">
        <v>2</v>
      </c>
      <c r="K5" s="320" t="s">
        <v>757</v>
      </c>
      <c r="L5" s="351"/>
    </row>
    <row r="6" spans="1:12" ht="21.75" customHeight="1" x14ac:dyDescent="0.2">
      <c r="A6" s="38">
        <v>3</v>
      </c>
      <c r="B6" s="347" t="s">
        <v>501</v>
      </c>
      <c r="C6" s="348">
        <v>18495531</v>
      </c>
      <c r="D6" s="396" t="s">
        <v>500</v>
      </c>
      <c r="E6" s="360">
        <v>44963</v>
      </c>
      <c r="F6" s="348" t="s">
        <v>17</v>
      </c>
      <c r="G6" s="319" t="s">
        <v>62</v>
      </c>
      <c r="H6" s="361">
        <v>4.95</v>
      </c>
      <c r="I6" s="319" t="s">
        <v>759</v>
      </c>
      <c r="J6" s="38">
        <v>2</v>
      </c>
      <c r="K6" s="320" t="s">
        <v>757</v>
      </c>
      <c r="L6" s="351"/>
    </row>
    <row r="7" spans="1:12" ht="39" customHeight="1" x14ac:dyDescent="0.2">
      <c r="A7" s="38">
        <v>4</v>
      </c>
      <c r="B7" s="351" t="s">
        <v>785</v>
      </c>
      <c r="C7" s="364">
        <v>41955076</v>
      </c>
      <c r="D7" s="396" t="s">
        <v>787</v>
      </c>
      <c r="E7" s="360">
        <v>45078</v>
      </c>
      <c r="F7" s="348" t="s">
        <v>17</v>
      </c>
      <c r="G7" s="319" t="s">
        <v>62</v>
      </c>
      <c r="H7" s="361">
        <v>4.9400000000000004</v>
      </c>
      <c r="I7" s="319" t="s">
        <v>763</v>
      </c>
      <c r="J7" s="38">
        <v>2</v>
      </c>
      <c r="K7" s="320" t="s">
        <v>757</v>
      </c>
      <c r="L7" s="351"/>
    </row>
    <row r="8" spans="1:12" ht="21.75" customHeight="1" x14ac:dyDescent="0.2">
      <c r="A8" s="38">
        <v>5</v>
      </c>
      <c r="B8" s="347" t="s">
        <v>60</v>
      </c>
      <c r="C8" s="348">
        <v>29505841</v>
      </c>
      <c r="D8" s="396" t="s">
        <v>469</v>
      </c>
      <c r="E8" s="360">
        <v>44963</v>
      </c>
      <c r="F8" s="348" t="s">
        <v>17</v>
      </c>
      <c r="G8" s="319" t="s">
        <v>62</v>
      </c>
      <c r="H8" s="319">
        <v>4.92</v>
      </c>
      <c r="I8" s="319" t="s">
        <v>759</v>
      </c>
      <c r="J8" s="38">
        <v>2</v>
      </c>
      <c r="K8" s="320" t="s">
        <v>757</v>
      </c>
      <c r="L8" s="351"/>
    </row>
    <row r="9" spans="1:12" ht="21.75" customHeight="1" x14ac:dyDescent="0.2">
      <c r="A9" s="38">
        <v>6</v>
      </c>
      <c r="B9" s="347" t="s">
        <v>956</v>
      </c>
      <c r="C9" s="319">
        <v>18593326</v>
      </c>
      <c r="D9" s="351" t="s">
        <v>447</v>
      </c>
      <c r="E9" s="350">
        <v>40392</v>
      </c>
      <c r="F9" s="319" t="s">
        <v>242</v>
      </c>
      <c r="G9" s="319" t="s">
        <v>62</v>
      </c>
      <c r="H9" s="359">
        <v>4.9000000000000004</v>
      </c>
      <c r="I9" s="319" t="s">
        <v>772</v>
      </c>
      <c r="J9" s="38">
        <v>2</v>
      </c>
      <c r="K9" s="320" t="s">
        <v>757</v>
      </c>
      <c r="L9" s="351"/>
    </row>
    <row r="10" spans="1:12" ht="21.75" customHeight="1" x14ac:dyDescent="0.2">
      <c r="A10" s="38">
        <v>7</v>
      </c>
      <c r="B10" s="347" t="s">
        <v>60</v>
      </c>
      <c r="C10" s="348">
        <v>9726715</v>
      </c>
      <c r="D10" s="396" t="s">
        <v>470</v>
      </c>
      <c r="E10" s="360">
        <v>44963</v>
      </c>
      <c r="F10" s="348" t="s">
        <v>17</v>
      </c>
      <c r="G10" s="319" t="s">
        <v>62</v>
      </c>
      <c r="H10" s="359">
        <v>4.9000000000000004</v>
      </c>
      <c r="I10" s="319" t="s">
        <v>759</v>
      </c>
      <c r="J10" s="38">
        <v>2</v>
      </c>
      <c r="K10" s="320" t="s">
        <v>757</v>
      </c>
      <c r="L10" s="351"/>
    </row>
    <row r="11" spans="1:12" ht="21.75" customHeight="1" x14ac:dyDescent="0.2">
      <c r="A11" s="38">
        <v>8</v>
      </c>
      <c r="B11" s="347" t="s">
        <v>193</v>
      </c>
      <c r="C11" s="319">
        <v>41914131</v>
      </c>
      <c r="D11" s="351" t="s">
        <v>773</v>
      </c>
      <c r="E11" s="350">
        <v>41872</v>
      </c>
      <c r="F11" s="319" t="s">
        <v>17</v>
      </c>
      <c r="G11" s="319" t="s">
        <v>62</v>
      </c>
      <c r="H11" s="319">
        <v>4.8899999999999997</v>
      </c>
      <c r="I11" s="319" t="s">
        <v>772</v>
      </c>
      <c r="J11" s="38">
        <v>2</v>
      </c>
      <c r="K11" s="320" t="s">
        <v>757</v>
      </c>
      <c r="L11" s="351"/>
    </row>
    <row r="12" spans="1:12" ht="21.75" customHeight="1" x14ac:dyDescent="0.2">
      <c r="A12" s="38">
        <v>9</v>
      </c>
      <c r="B12" s="347" t="s">
        <v>522</v>
      </c>
      <c r="C12" s="348">
        <v>1094947500</v>
      </c>
      <c r="D12" s="396" t="s">
        <v>766</v>
      </c>
      <c r="E12" s="350">
        <v>44963</v>
      </c>
      <c r="F12" s="320" t="s">
        <v>21</v>
      </c>
      <c r="G12" s="320" t="s">
        <v>62</v>
      </c>
      <c r="H12" s="319">
        <v>4.88</v>
      </c>
      <c r="I12" s="319" t="s">
        <v>759</v>
      </c>
      <c r="J12" s="38">
        <v>2</v>
      </c>
      <c r="K12" s="320" t="s">
        <v>757</v>
      </c>
      <c r="L12" s="351"/>
    </row>
    <row r="13" spans="1:12" ht="21.75" customHeight="1" x14ac:dyDescent="0.2">
      <c r="A13" s="38">
        <v>10</v>
      </c>
      <c r="B13" s="347" t="s">
        <v>61</v>
      </c>
      <c r="C13" s="353">
        <v>30399579</v>
      </c>
      <c r="D13" s="351" t="s">
        <v>825</v>
      </c>
      <c r="E13" s="322">
        <v>42955</v>
      </c>
      <c r="F13" s="319" t="s">
        <v>17</v>
      </c>
      <c r="G13" s="319" t="s">
        <v>62</v>
      </c>
      <c r="H13" s="361">
        <v>4.8600000000000003</v>
      </c>
      <c r="I13" s="319" t="s">
        <v>760</v>
      </c>
      <c r="J13" s="38">
        <v>2</v>
      </c>
      <c r="K13" s="320" t="s">
        <v>757</v>
      </c>
      <c r="L13" s="351"/>
    </row>
    <row r="14" spans="1:12" ht="21.75" customHeight="1" x14ac:dyDescent="0.2">
      <c r="A14" s="38">
        <v>11</v>
      </c>
      <c r="B14" s="347" t="s">
        <v>63</v>
      </c>
      <c r="C14" s="348">
        <v>89008169</v>
      </c>
      <c r="D14" s="396" t="s">
        <v>290</v>
      </c>
      <c r="E14" s="360">
        <v>44963</v>
      </c>
      <c r="F14" s="348" t="s">
        <v>17</v>
      </c>
      <c r="G14" s="319" t="s">
        <v>62</v>
      </c>
      <c r="H14" s="361">
        <v>4.84</v>
      </c>
      <c r="I14" s="319" t="s">
        <v>759</v>
      </c>
      <c r="J14" s="38">
        <v>2</v>
      </c>
      <c r="K14" s="320" t="s">
        <v>757</v>
      </c>
      <c r="L14" s="351"/>
    </row>
    <row r="15" spans="1:12" ht="31.5" customHeight="1" x14ac:dyDescent="0.2">
      <c r="A15" s="38">
        <v>12</v>
      </c>
      <c r="B15" s="351" t="s">
        <v>927</v>
      </c>
      <c r="C15" s="319">
        <v>7561489</v>
      </c>
      <c r="D15" s="351" t="s">
        <v>928</v>
      </c>
      <c r="E15" s="350">
        <v>39664</v>
      </c>
      <c r="F15" s="319" t="s">
        <v>17</v>
      </c>
      <c r="G15" s="319" t="s">
        <v>62</v>
      </c>
      <c r="H15" s="381">
        <v>4.83</v>
      </c>
      <c r="I15" s="319" t="s">
        <v>772</v>
      </c>
      <c r="J15" s="38">
        <v>2</v>
      </c>
      <c r="K15" s="320" t="s">
        <v>757</v>
      </c>
      <c r="L15" s="351"/>
    </row>
    <row r="16" spans="1:12" ht="29.25" customHeight="1" x14ac:dyDescent="0.2">
      <c r="A16" s="38">
        <v>13</v>
      </c>
      <c r="B16" s="351" t="s">
        <v>927</v>
      </c>
      <c r="C16" s="353">
        <v>1094909209</v>
      </c>
      <c r="D16" s="298" t="s">
        <v>395</v>
      </c>
      <c r="E16" s="350">
        <v>41673</v>
      </c>
      <c r="F16" s="319" t="s">
        <v>17</v>
      </c>
      <c r="G16" s="319" t="s">
        <v>62</v>
      </c>
      <c r="H16" s="381">
        <v>4.8099999999999996</v>
      </c>
      <c r="I16" s="319" t="s">
        <v>760</v>
      </c>
      <c r="J16" s="38">
        <v>2</v>
      </c>
      <c r="K16" s="320" t="s">
        <v>757</v>
      </c>
      <c r="L16" s="351"/>
    </row>
    <row r="17" spans="1:12" ht="21.75" customHeight="1" x14ac:dyDescent="0.2">
      <c r="A17" s="38">
        <v>14</v>
      </c>
      <c r="B17" s="347" t="s">
        <v>956</v>
      </c>
      <c r="C17" s="319">
        <v>7547521</v>
      </c>
      <c r="D17" s="351" t="s">
        <v>961</v>
      </c>
      <c r="E17" s="350">
        <v>33835</v>
      </c>
      <c r="F17" s="319" t="s">
        <v>242</v>
      </c>
      <c r="G17" s="319" t="s">
        <v>62</v>
      </c>
      <c r="H17" s="319">
        <v>4.75</v>
      </c>
      <c r="I17" s="319" t="s">
        <v>759</v>
      </c>
      <c r="J17" s="38">
        <v>2</v>
      </c>
      <c r="K17" s="320" t="s">
        <v>757</v>
      </c>
      <c r="L17" s="351"/>
    </row>
    <row r="18" spans="1:12" ht="29.25" customHeight="1" x14ac:dyDescent="0.2">
      <c r="A18" s="38">
        <v>15</v>
      </c>
      <c r="B18" s="351" t="s">
        <v>927</v>
      </c>
      <c r="C18" s="319">
        <v>52105400</v>
      </c>
      <c r="D18" s="351" t="s">
        <v>930</v>
      </c>
      <c r="E18" s="350">
        <v>40947</v>
      </c>
      <c r="F18" s="319" t="s">
        <v>17</v>
      </c>
      <c r="G18" s="319" t="s">
        <v>62</v>
      </c>
      <c r="H18" s="381">
        <v>4.74</v>
      </c>
      <c r="I18" s="319" t="s">
        <v>760</v>
      </c>
      <c r="J18" s="38">
        <v>2</v>
      </c>
      <c r="K18" s="320" t="s">
        <v>757</v>
      </c>
      <c r="L18" s="351"/>
    </row>
    <row r="19" spans="1:12" ht="25.5" customHeight="1" x14ac:dyDescent="0.2">
      <c r="A19" s="38">
        <v>16</v>
      </c>
      <c r="B19" s="347" t="s">
        <v>53</v>
      </c>
      <c r="C19" s="348">
        <v>89000816</v>
      </c>
      <c r="D19" s="396" t="s">
        <v>968</v>
      </c>
      <c r="E19" s="360">
        <v>44963</v>
      </c>
      <c r="F19" s="348" t="s">
        <v>17</v>
      </c>
      <c r="G19" s="319" t="s">
        <v>62</v>
      </c>
      <c r="H19" s="319">
        <v>4.74</v>
      </c>
      <c r="I19" s="319" t="s">
        <v>759</v>
      </c>
      <c r="J19" s="38">
        <v>2</v>
      </c>
      <c r="K19" s="320" t="s">
        <v>757</v>
      </c>
      <c r="L19" s="351"/>
    </row>
    <row r="20" spans="1:12" ht="21.75" customHeight="1" x14ac:dyDescent="0.2">
      <c r="A20" s="38">
        <v>17</v>
      </c>
      <c r="B20" s="347" t="s">
        <v>267</v>
      </c>
      <c r="C20" s="348">
        <v>18467629</v>
      </c>
      <c r="D20" s="396" t="s">
        <v>835</v>
      </c>
      <c r="E20" s="360">
        <v>44963</v>
      </c>
      <c r="F20" s="348" t="s">
        <v>21</v>
      </c>
      <c r="G20" s="319" t="s">
        <v>62</v>
      </c>
      <c r="H20" s="319">
        <v>4.72</v>
      </c>
      <c r="I20" s="319" t="s">
        <v>759</v>
      </c>
      <c r="J20" s="38">
        <v>2</v>
      </c>
      <c r="K20" s="320" t="s">
        <v>757</v>
      </c>
      <c r="L20" s="351"/>
    </row>
    <row r="21" spans="1:12" ht="21.75" customHeight="1" x14ac:dyDescent="0.2">
      <c r="A21" s="38">
        <v>18</v>
      </c>
      <c r="B21" s="347" t="s">
        <v>485</v>
      </c>
      <c r="C21" s="348">
        <v>41957767</v>
      </c>
      <c r="D21" s="396" t="s">
        <v>979</v>
      </c>
      <c r="E21" s="360">
        <v>44963</v>
      </c>
      <c r="F21" s="348" t="s">
        <v>17</v>
      </c>
      <c r="G21" s="319" t="s">
        <v>62</v>
      </c>
      <c r="H21" s="361">
        <v>4.72</v>
      </c>
      <c r="I21" s="319" t="s">
        <v>759</v>
      </c>
      <c r="J21" s="38">
        <v>2</v>
      </c>
      <c r="K21" s="320" t="s">
        <v>757</v>
      </c>
      <c r="L21" s="347"/>
    </row>
    <row r="22" spans="1:12" ht="21.75" customHeight="1" x14ac:dyDescent="0.2">
      <c r="A22" s="38">
        <v>19</v>
      </c>
      <c r="B22" s="347" t="s">
        <v>63</v>
      </c>
      <c r="C22" s="319">
        <v>34554225</v>
      </c>
      <c r="D22" s="351" t="s">
        <v>857</v>
      </c>
      <c r="E22" s="350">
        <v>38376</v>
      </c>
      <c r="F22" s="319" t="s">
        <v>17</v>
      </c>
      <c r="G22" s="319" t="s">
        <v>62</v>
      </c>
      <c r="H22" s="319">
        <v>4.68</v>
      </c>
      <c r="I22" s="319" t="s">
        <v>760</v>
      </c>
      <c r="J22" s="38">
        <v>2</v>
      </c>
      <c r="K22" s="320" t="s">
        <v>757</v>
      </c>
      <c r="L22" s="351"/>
    </row>
    <row r="23" spans="1:12" x14ac:dyDescent="0.2">
      <c r="A23" s="472" t="s">
        <v>997</v>
      </c>
      <c r="B23" s="473"/>
      <c r="C23" s="473"/>
      <c r="D23" s="473"/>
      <c r="E23" s="473"/>
      <c r="F23" s="473"/>
      <c r="G23" s="473"/>
      <c r="H23" s="473"/>
      <c r="I23" s="473"/>
      <c r="J23" s="473"/>
      <c r="K23" s="473"/>
      <c r="L23" s="474"/>
    </row>
    <row r="25" spans="1:12" x14ac:dyDescent="0.2">
      <c r="A25" s="389" t="s">
        <v>998</v>
      </c>
      <c r="B25" s="153"/>
      <c r="C25" s="312"/>
      <c r="D25" s="153"/>
      <c r="F25" s="157"/>
      <c r="G25" s="312"/>
      <c r="H25" s="312"/>
      <c r="I25" s="312"/>
      <c r="J25" s="312"/>
      <c r="K25" s="311"/>
      <c r="L25" s="153"/>
    </row>
    <row r="26" spans="1:12" x14ac:dyDescent="0.2">
      <c r="A26" s="389"/>
      <c r="B26" s="153"/>
      <c r="C26" s="312"/>
      <c r="D26" s="153"/>
      <c r="F26" s="157"/>
      <c r="G26" s="312"/>
      <c r="H26" s="312"/>
      <c r="I26" s="312"/>
      <c r="J26" s="312"/>
      <c r="K26" s="311"/>
      <c r="L26" s="153"/>
    </row>
    <row r="27" spans="1:12" x14ac:dyDescent="0.2">
      <c r="A27" s="389"/>
      <c r="B27" s="153"/>
      <c r="C27" s="312"/>
      <c r="D27" s="153"/>
      <c r="F27" s="157"/>
      <c r="G27" s="312"/>
      <c r="H27" s="312"/>
      <c r="I27" s="312"/>
      <c r="J27" s="312"/>
      <c r="K27" s="311"/>
      <c r="L27" s="153"/>
    </row>
    <row r="28" spans="1:12" x14ac:dyDescent="0.2">
      <c r="A28" s="312"/>
      <c r="B28" s="153"/>
      <c r="C28" s="312"/>
      <c r="D28" s="424" t="s">
        <v>13</v>
      </c>
      <c r="F28" s="157"/>
      <c r="G28" s="437" t="s">
        <v>96</v>
      </c>
      <c r="H28" s="437"/>
      <c r="I28" s="437"/>
      <c r="J28" s="437"/>
      <c r="K28" s="311"/>
      <c r="L28" s="153"/>
    </row>
    <row r="29" spans="1:12" x14ac:dyDescent="0.2">
      <c r="B29" s="173"/>
      <c r="C29" s="390"/>
      <c r="D29" s="423" t="s">
        <v>14</v>
      </c>
      <c r="E29" s="390"/>
      <c r="F29" s="176"/>
      <c r="G29" s="438" t="s">
        <v>18</v>
      </c>
      <c r="H29" s="438"/>
      <c r="I29" s="438"/>
      <c r="J29" s="438"/>
    </row>
    <row r="30" spans="1:12" x14ac:dyDescent="0.2">
      <c r="B30" s="173"/>
      <c r="C30" s="176"/>
      <c r="D30" s="424" t="s">
        <v>65</v>
      </c>
      <c r="E30" s="176"/>
      <c r="F30" s="176"/>
      <c r="G30" s="439" t="s">
        <v>20</v>
      </c>
      <c r="H30" s="439"/>
      <c r="I30" s="439"/>
      <c r="J30" s="439"/>
    </row>
    <row r="31" spans="1:12" x14ac:dyDescent="0.2">
      <c r="B31" s="173"/>
      <c r="C31" s="176"/>
      <c r="D31" s="424" t="s">
        <v>15</v>
      </c>
      <c r="E31" s="176"/>
      <c r="F31" s="176"/>
      <c r="G31" s="173"/>
      <c r="H31" s="439" t="s">
        <v>16</v>
      </c>
      <c r="I31" s="439"/>
      <c r="J31" s="176"/>
    </row>
  </sheetData>
  <mergeCells count="7">
    <mergeCell ref="H31:I31"/>
    <mergeCell ref="A1:L1"/>
    <mergeCell ref="A2:L2"/>
    <mergeCell ref="A23:L23"/>
    <mergeCell ref="G28:J28"/>
    <mergeCell ref="G29:J29"/>
    <mergeCell ref="G30:J30"/>
  </mergeCells>
  <pageMargins left="0.7" right="0.7" top="0.75" bottom="0.75" header="0.3" footer="0.3"/>
  <pageSetup paperSize="258" scale="75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8BD53-7211-4E8B-AE58-78E428B6E2FC}">
  <sheetPr>
    <tabColor theme="6" tint="0.39997558519241921"/>
  </sheetPr>
  <dimension ref="A1:L36"/>
  <sheetViews>
    <sheetView topLeftCell="A16" workbookViewId="0">
      <selection activeCell="D6" sqref="D6"/>
    </sheetView>
  </sheetViews>
  <sheetFormatPr baseColWidth="10" defaultRowHeight="12.75" x14ac:dyDescent="0.2"/>
  <cols>
    <col min="1" max="1" width="6.42578125" style="321" customWidth="1"/>
    <col min="2" max="2" width="29.28515625" style="321" customWidth="1"/>
    <col min="3" max="3" width="14.28515625" style="321" customWidth="1"/>
    <col min="4" max="4" width="34.42578125" style="173" customWidth="1"/>
    <col min="5" max="5" width="9.85546875" style="321" customWidth="1"/>
    <col min="6" max="6" width="12.42578125" style="321" customWidth="1"/>
    <col min="7" max="7" width="11" style="321" customWidth="1"/>
    <col min="8" max="8" width="12.42578125" style="321" customWidth="1"/>
    <col min="9" max="9" width="12" style="321" customWidth="1"/>
    <col min="10" max="10" width="12.7109375" style="321" customWidth="1"/>
    <col min="11" max="11" width="9.140625" style="321" customWidth="1"/>
    <col min="12" max="12" width="32" style="321" customWidth="1"/>
    <col min="13" max="16384" width="11.42578125" style="321"/>
  </cols>
  <sheetData>
    <row r="1" spans="1:12" ht="16.5" customHeight="1" x14ac:dyDescent="0.2">
      <c r="A1" s="470" t="s">
        <v>994</v>
      </c>
      <c r="B1" s="471"/>
      <c r="C1" s="471"/>
      <c r="D1" s="471"/>
      <c r="E1" s="471"/>
      <c r="F1" s="471"/>
      <c r="G1" s="471"/>
      <c r="H1" s="471"/>
      <c r="I1" s="471"/>
      <c r="J1" s="471"/>
      <c r="K1" s="471"/>
      <c r="L1" s="471"/>
    </row>
    <row r="2" spans="1:12" ht="16.5" customHeight="1" x14ac:dyDescent="0.2">
      <c r="A2" s="470" t="s">
        <v>999</v>
      </c>
      <c r="B2" s="471"/>
      <c r="C2" s="471"/>
      <c r="D2" s="471"/>
      <c r="E2" s="471"/>
      <c r="F2" s="471"/>
      <c r="G2" s="471"/>
      <c r="H2" s="471"/>
      <c r="I2" s="471"/>
      <c r="J2" s="471"/>
      <c r="K2" s="471"/>
      <c r="L2" s="471"/>
    </row>
    <row r="3" spans="1:12" ht="38.25" x14ac:dyDescent="0.2">
      <c r="A3" s="391" t="s">
        <v>5</v>
      </c>
      <c r="B3" s="392" t="s">
        <v>32</v>
      </c>
      <c r="C3" s="392" t="s">
        <v>748</v>
      </c>
      <c r="D3" s="392" t="s">
        <v>749</v>
      </c>
      <c r="E3" s="392" t="s">
        <v>750</v>
      </c>
      <c r="F3" s="392" t="s">
        <v>751</v>
      </c>
      <c r="G3" s="392" t="s">
        <v>87</v>
      </c>
      <c r="H3" s="393" t="s">
        <v>752</v>
      </c>
      <c r="I3" s="394" t="s">
        <v>753</v>
      </c>
      <c r="J3" s="394" t="s">
        <v>996</v>
      </c>
      <c r="K3" s="395" t="s">
        <v>755</v>
      </c>
      <c r="L3" s="392" t="s">
        <v>30</v>
      </c>
    </row>
    <row r="4" spans="1:12" x14ac:dyDescent="0.2">
      <c r="A4" s="38">
        <v>1</v>
      </c>
      <c r="B4" s="351" t="s">
        <v>523</v>
      </c>
      <c r="C4" s="319">
        <v>29226257</v>
      </c>
      <c r="D4" s="396" t="s">
        <v>189</v>
      </c>
      <c r="E4" s="350">
        <v>44963</v>
      </c>
      <c r="F4" s="320" t="s">
        <v>17</v>
      </c>
      <c r="G4" s="348" t="s">
        <v>22</v>
      </c>
      <c r="H4" s="359">
        <v>5</v>
      </c>
      <c r="I4" s="319" t="s">
        <v>760</v>
      </c>
      <c r="J4" s="319">
        <v>3</v>
      </c>
      <c r="K4" s="320" t="s">
        <v>757</v>
      </c>
      <c r="L4" s="351"/>
    </row>
    <row r="5" spans="1:12" x14ac:dyDescent="0.2">
      <c r="A5" s="38">
        <v>2</v>
      </c>
      <c r="B5" s="347" t="s">
        <v>899</v>
      </c>
      <c r="C5" s="364">
        <v>18470142</v>
      </c>
      <c r="D5" s="396" t="s">
        <v>361</v>
      </c>
      <c r="E5" s="360">
        <v>44963</v>
      </c>
      <c r="F5" s="348" t="s">
        <v>17</v>
      </c>
      <c r="G5" s="319" t="s">
        <v>22</v>
      </c>
      <c r="H5" s="361">
        <v>4.99</v>
      </c>
      <c r="I5" s="319" t="s">
        <v>759</v>
      </c>
      <c r="J5" s="319">
        <v>3</v>
      </c>
      <c r="K5" s="320" t="s">
        <v>757</v>
      </c>
      <c r="L5" s="351"/>
    </row>
    <row r="6" spans="1:12" ht="51" x14ac:dyDescent="0.2">
      <c r="A6" s="38">
        <v>3</v>
      </c>
      <c r="B6" s="351" t="s">
        <v>927</v>
      </c>
      <c r="C6" s="348">
        <v>1102042502</v>
      </c>
      <c r="D6" s="396" t="s">
        <v>934</v>
      </c>
      <c r="E6" s="360">
        <v>44963</v>
      </c>
      <c r="F6" s="319" t="s">
        <v>21</v>
      </c>
      <c r="G6" s="319" t="s">
        <v>22</v>
      </c>
      <c r="H6" s="361">
        <v>4.99</v>
      </c>
      <c r="I6" s="319" t="s">
        <v>759</v>
      </c>
      <c r="J6" s="319">
        <v>2.7</v>
      </c>
      <c r="K6" s="320" t="s">
        <v>757</v>
      </c>
      <c r="L6" s="351" t="s">
        <v>1000</v>
      </c>
    </row>
    <row r="7" spans="1:12" x14ac:dyDescent="0.2">
      <c r="A7" s="38">
        <v>4</v>
      </c>
      <c r="B7" s="347" t="s">
        <v>53</v>
      </c>
      <c r="C7" s="319">
        <v>39789083</v>
      </c>
      <c r="D7" s="351" t="s">
        <v>431</v>
      </c>
      <c r="E7" s="350">
        <v>40203</v>
      </c>
      <c r="F7" s="319" t="s">
        <v>242</v>
      </c>
      <c r="G7" s="319" t="s">
        <v>22</v>
      </c>
      <c r="H7" s="319">
        <v>4.9800000000000004</v>
      </c>
      <c r="I7" s="319" t="s">
        <v>764</v>
      </c>
      <c r="J7" s="319">
        <v>3</v>
      </c>
      <c r="K7" s="320" t="s">
        <v>757</v>
      </c>
      <c r="L7" s="351"/>
    </row>
    <row r="8" spans="1:12" x14ac:dyDescent="0.2">
      <c r="A8" s="38">
        <v>5</v>
      </c>
      <c r="B8" s="347" t="s">
        <v>956</v>
      </c>
      <c r="C8" s="319">
        <v>41941200</v>
      </c>
      <c r="D8" s="351" t="s">
        <v>435</v>
      </c>
      <c r="E8" s="350">
        <v>40392</v>
      </c>
      <c r="F8" s="319" t="s">
        <v>21</v>
      </c>
      <c r="G8" s="319" t="s">
        <v>22</v>
      </c>
      <c r="H8" s="319">
        <v>4.9800000000000004</v>
      </c>
      <c r="I8" s="319" t="s">
        <v>775</v>
      </c>
      <c r="J8" s="319">
        <v>3</v>
      </c>
      <c r="K8" s="320" t="s">
        <v>757</v>
      </c>
      <c r="L8" s="351"/>
    </row>
    <row r="9" spans="1:12" ht="25.5" x14ac:dyDescent="0.2">
      <c r="A9" s="38">
        <v>6</v>
      </c>
      <c r="B9" s="351" t="s">
        <v>927</v>
      </c>
      <c r="C9" s="353">
        <v>41937649</v>
      </c>
      <c r="D9" s="351" t="s">
        <v>399</v>
      </c>
      <c r="E9" s="322">
        <v>42955</v>
      </c>
      <c r="F9" s="319" t="s">
        <v>17</v>
      </c>
      <c r="G9" s="319" t="s">
        <v>22</v>
      </c>
      <c r="H9" s="320">
        <v>4.97</v>
      </c>
      <c r="I9" s="319" t="s">
        <v>775</v>
      </c>
      <c r="J9" s="319">
        <v>3</v>
      </c>
      <c r="K9" s="320" t="s">
        <v>757</v>
      </c>
      <c r="L9" s="351"/>
    </row>
    <row r="10" spans="1:12" x14ac:dyDescent="0.2">
      <c r="A10" s="38">
        <v>7</v>
      </c>
      <c r="B10" s="347" t="s">
        <v>58</v>
      </c>
      <c r="C10" s="348">
        <v>41961829</v>
      </c>
      <c r="D10" s="396" t="s">
        <v>451</v>
      </c>
      <c r="E10" s="360">
        <v>44963</v>
      </c>
      <c r="F10" s="319" t="s">
        <v>21</v>
      </c>
      <c r="G10" s="319" t="s">
        <v>22</v>
      </c>
      <c r="H10" s="361">
        <v>4.97</v>
      </c>
      <c r="I10" s="319" t="s">
        <v>759</v>
      </c>
      <c r="J10" s="319">
        <v>3</v>
      </c>
      <c r="K10" s="320" t="s">
        <v>757</v>
      </c>
      <c r="L10" s="347"/>
    </row>
    <row r="11" spans="1:12" x14ac:dyDescent="0.2">
      <c r="A11" s="38">
        <v>8</v>
      </c>
      <c r="B11" s="347" t="s">
        <v>899</v>
      </c>
      <c r="C11" s="319">
        <v>88141692</v>
      </c>
      <c r="D11" s="351" t="s">
        <v>903</v>
      </c>
      <c r="E11" s="350">
        <v>34834</v>
      </c>
      <c r="F11" s="319" t="s">
        <v>21</v>
      </c>
      <c r="G11" s="319" t="s">
        <v>22</v>
      </c>
      <c r="H11" s="361">
        <v>4.96</v>
      </c>
      <c r="I11" s="319" t="s">
        <v>760</v>
      </c>
      <c r="J11" s="319">
        <v>3</v>
      </c>
      <c r="K11" s="320" t="s">
        <v>757</v>
      </c>
      <c r="L11" s="351"/>
    </row>
    <row r="12" spans="1:12" ht="38.25" x14ac:dyDescent="0.2">
      <c r="A12" s="38">
        <v>9</v>
      </c>
      <c r="B12" s="351" t="s">
        <v>785</v>
      </c>
      <c r="C12" s="364">
        <v>1094878677</v>
      </c>
      <c r="D12" s="396" t="s">
        <v>216</v>
      </c>
      <c r="E12" s="360">
        <v>45091</v>
      </c>
      <c r="F12" s="348" t="s">
        <v>17</v>
      </c>
      <c r="G12" s="319" t="s">
        <v>22</v>
      </c>
      <c r="H12" s="361">
        <v>4.95</v>
      </c>
      <c r="I12" s="319" t="s">
        <v>763</v>
      </c>
      <c r="J12" s="319">
        <v>3</v>
      </c>
      <c r="K12" s="320" t="s">
        <v>757</v>
      </c>
      <c r="L12" s="351"/>
    </row>
    <row r="13" spans="1:12" ht="25.5" x14ac:dyDescent="0.2">
      <c r="A13" s="38">
        <v>10</v>
      </c>
      <c r="B13" s="347" t="s">
        <v>74</v>
      </c>
      <c r="C13" s="319">
        <v>16747204</v>
      </c>
      <c r="D13" s="351" t="s">
        <v>891</v>
      </c>
      <c r="E13" s="350">
        <v>37159</v>
      </c>
      <c r="F13" s="319" t="s">
        <v>17</v>
      </c>
      <c r="G13" s="319" t="s">
        <v>22</v>
      </c>
      <c r="H13" s="361">
        <v>4.95</v>
      </c>
      <c r="I13" s="320" t="s">
        <v>760</v>
      </c>
      <c r="J13" s="319">
        <v>3</v>
      </c>
      <c r="K13" s="320" t="s">
        <v>757</v>
      </c>
      <c r="L13" s="347"/>
    </row>
    <row r="14" spans="1:12" x14ac:dyDescent="0.2">
      <c r="A14" s="38">
        <v>11</v>
      </c>
      <c r="B14" s="347" t="s">
        <v>74</v>
      </c>
      <c r="C14" s="348">
        <v>1094901176</v>
      </c>
      <c r="D14" s="396" t="s">
        <v>353</v>
      </c>
      <c r="E14" s="360">
        <v>44977</v>
      </c>
      <c r="F14" s="319" t="s">
        <v>17</v>
      </c>
      <c r="G14" s="319" t="s">
        <v>22</v>
      </c>
      <c r="H14" s="361">
        <v>4.95</v>
      </c>
      <c r="I14" s="319" t="s">
        <v>759</v>
      </c>
      <c r="J14" s="319">
        <v>3</v>
      </c>
      <c r="K14" s="320" t="s">
        <v>757</v>
      </c>
      <c r="L14" s="351"/>
    </row>
    <row r="15" spans="1:12" x14ac:dyDescent="0.2">
      <c r="A15" s="38">
        <v>12</v>
      </c>
      <c r="B15" s="347" t="s">
        <v>485</v>
      </c>
      <c r="C15" s="319">
        <v>9805077</v>
      </c>
      <c r="D15" s="351" t="s">
        <v>484</v>
      </c>
      <c r="E15" s="350">
        <v>35828</v>
      </c>
      <c r="F15" s="319" t="s">
        <v>242</v>
      </c>
      <c r="G15" s="319" t="s">
        <v>22</v>
      </c>
      <c r="H15" s="319">
        <v>4.95</v>
      </c>
      <c r="I15" s="319" t="s">
        <v>978</v>
      </c>
      <c r="J15" s="319">
        <v>3</v>
      </c>
      <c r="K15" s="320" t="s">
        <v>757</v>
      </c>
      <c r="L15" s="347"/>
    </row>
    <row r="16" spans="1:12" ht="25.5" x14ac:dyDescent="0.2">
      <c r="A16" s="38">
        <v>13</v>
      </c>
      <c r="B16" s="351" t="s">
        <v>938</v>
      </c>
      <c r="C16" s="348">
        <v>41943583</v>
      </c>
      <c r="D16" s="396" t="s">
        <v>942</v>
      </c>
      <c r="E16" s="360">
        <v>44963</v>
      </c>
      <c r="F16" s="348" t="s">
        <v>21</v>
      </c>
      <c r="G16" s="319" t="s">
        <v>22</v>
      </c>
      <c r="H16" s="319">
        <v>4.9400000000000004</v>
      </c>
      <c r="I16" s="319" t="s">
        <v>759</v>
      </c>
      <c r="J16" s="319">
        <v>3</v>
      </c>
      <c r="K16" s="320" t="s">
        <v>757</v>
      </c>
      <c r="L16" s="351"/>
    </row>
    <row r="17" spans="1:12" ht="25.5" x14ac:dyDescent="0.2">
      <c r="A17" s="38">
        <v>14</v>
      </c>
      <c r="B17" s="347" t="s">
        <v>57</v>
      </c>
      <c r="C17" s="348">
        <v>24344593</v>
      </c>
      <c r="D17" s="396" t="s">
        <v>980</v>
      </c>
      <c r="E17" s="360">
        <v>44963</v>
      </c>
      <c r="F17" s="348" t="s">
        <v>21</v>
      </c>
      <c r="G17" s="319" t="s">
        <v>22</v>
      </c>
      <c r="H17" s="361">
        <v>4.9400000000000004</v>
      </c>
      <c r="I17" s="319" t="s">
        <v>759</v>
      </c>
      <c r="J17" s="319">
        <v>3</v>
      </c>
      <c r="K17" s="320" t="s">
        <v>757</v>
      </c>
      <c r="L17" s="351"/>
    </row>
    <row r="18" spans="1:12" x14ac:dyDescent="0.2">
      <c r="A18" s="38">
        <v>15</v>
      </c>
      <c r="B18" s="347" t="s">
        <v>870</v>
      </c>
      <c r="C18" s="348">
        <v>16512197</v>
      </c>
      <c r="D18" s="396" t="s">
        <v>883</v>
      </c>
      <c r="E18" s="360">
        <v>44963</v>
      </c>
      <c r="F18" s="348" t="s">
        <v>17</v>
      </c>
      <c r="G18" s="319" t="s">
        <v>22</v>
      </c>
      <c r="H18" s="361">
        <v>4.93</v>
      </c>
      <c r="I18" s="319" t="s">
        <v>759</v>
      </c>
      <c r="J18" s="319">
        <v>3</v>
      </c>
      <c r="K18" s="320" t="s">
        <v>757</v>
      </c>
      <c r="L18" s="347"/>
    </row>
    <row r="19" spans="1:12" ht="25.5" x14ac:dyDescent="0.2">
      <c r="A19" s="38">
        <v>16</v>
      </c>
      <c r="B19" s="347" t="s">
        <v>74</v>
      </c>
      <c r="C19" s="348">
        <v>9730805</v>
      </c>
      <c r="D19" s="396" t="s">
        <v>887</v>
      </c>
      <c r="E19" s="360">
        <v>44963</v>
      </c>
      <c r="F19" s="348" t="s">
        <v>17</v>
      </c>
      <c r="G19" s="319" t="s">
        <v>22</v>
      </c>
      <c r="H19" s="361">
        <v>4.93</v>
      </c>
      <c r="I19" s="319" t="s">
        <v>759</v>
      </c>
      <c r="J19" s="319">
        <v>3</v>
      </c>
      <c r="K19" s="320" t="s">
        <v>757</v>
      </c>
      <c r="L19" s="351"/>
    </row>
    <row r="20" spans="1:12" ht="25.5" x14ac:dyDescent="0.2">
      <c r="A20" s="38">
        <v>17</v>
      </c>
      <c r="B20" s="351" t="s">
        <v>927</v>
      </c>
      <c r="C20" s="319">
        <v>10122357</v>
      </c>
      <c r="D20" s="351" t="s">
        <v>932</v>
      </c>
      <c r="E20" s="350">
        <v>38040</v>
      </c>
      <c r="F20" s="319" t="s">
        <v>17</v>
      </c>
      <c r="G20" s="319" t="s">
        <v>22</v>
      </c>
      <c r="H20" s="320">
        <v>4.93</v>
      </c>
      <c r="I20" s="319" t="s">
        <v>775</v>
      </c>
      <c r="J20" s="319">
        <v>3</v>
      </c>
      <c r="K20" s="320" t="s">
        <v>757</v>
      </c>
      <c r="L20" s="351"/>
    </row>
    <row r="21" spans="1:12" x14ac:dyDescent="0.2">
      <c r="A21" s="38">
        <v>18</v>
      </c>
      <c r="B21" s="347" t="s">
        <v>57</v>
      </c>
      <c r="C21" s="319">
        <v>41923129</v>
      </c>
      <c r="D21" s="351" t="s">
        <v>495</v>
      </c>
      <c r="E21" s="350">
        <v>38376</v>
      </c>
      <c r="F21" s="319" t="s">
        <v>21</v>
      </c>
      <c r="G21" s="319" t="s">
        <v>22</v>
      </c>
      <c r="H21" s="320">
        <v>4.93</v>
      </c>
      <c r="I21" s="319" t="s">
        <v>775</v>
      </c>
      <c r="J21" s="319">
        <v>3</v>
      </c>
      <c r="K21" s="320" t="s">
        <v>757</v>
      </c>
      <c r="L21" s="351"/>
    </row>
    <row r="22" spans="1:12" x14ac:dyDescent="0.2">
      <c r="A22" s="38">
        <v>19</v>
      </c>
      <c r="B22" s="351" t="s">
        <v>219</v>
      </c>
      <c r="C22" s="348">
        <v>89004182</v>
      </c>
      <c r="D22" s="396" t="s">
        <v>798</v>
      </c>
      <c r="E22" s="360">
        <v>44963</v>
      </c>
      <c r="F22" s="348" t="s">
        <v>21</v>
      </c>
      <c r="G22" s="319" t="s">
        <v>22</v>
      </c>
      <c r="H22" s="361">
        <v>4.92</v>
      </c>
      <c r="I22" s="319" t="s">
        <v>759</v>
      </c>
      <c r="J22" s="319">
        <v>3</v>
      </c>
      <c r="K22" s="320" t="s">
        <v>757</v>
      </c>
      <c r="L22" s="351"/>
    </row>
    <row r="23" spans="1:12" ht="51" x14ac:dyDescent="0.2">
      <c r="A23" s="38">
        <v>20</v>
      </c>
      <c r="B23" s="347" t="s">
        <v>61</v>
      </c>
      <c r="C23" s="348">
        <v>38794076</v>
      </c>
      <c r="D23" s="396" t="s">
        <v>826</v>
      </c>
      <c r="E23" s="360">
        <v>44967</v>
      </c>
      <c r="F23" s="348" t="s">
        <v>21</v>
      </c>
      <c r="G23" s="319" t="s">
        <v>22</v>
      </c>
      <c r="H23" s="361">
        <v>4.92</v>
      </c>
      <c r="I23" s="319" t="s">
        <v>760</v>
      </c>
      <c r="J23" s="319">
        <v>2.2000000000000002</v>
      </c>
      <c r="K23" s="320" t="s">
        <v>757</v>
      </c>
      <c r="L23" s="351" t="s">
        <v>1001</v>
      </c>
    </row>
    <row r="24" spans="1:12" x14ac:dyDescent="0.2">
      <c r="A24" s="38">
        <v>21</v>
      </c>
      <c r="B24" s="347" t="s">
        <v>74</v>
      </c>
      <c r="C24" s="319">
        <v>94528666</v>
      </c>
      <c r="D24" s="351" t="s">
        <v>898</v>
      </c>
      <c r="E24" s="350">
        <v>38762</v>
      </c>
      <c r="F24" s="319" t="s">
        <v>21</v>
      </c>
      <c r="G24" s="319" t="s">
        <v>22</v>
      </c>
      <c r="H24" s="359">
        <v>4.92</v>
      </c>
      <c r="I24" s="319" t="s">
        <v>772</v>
      </c>
      <c r="J24" s="319">
        <v>3</v>
      </c>
      <c r="K24" s="320" t="s">
        <v>757</v>
      </c>
      <c r="L24" s="351"/>
    </row>
    <row r="25" spans="1:12" ht="25.5" x14ac:dyDescent="0.2">
      <c r="A25" s="38">
        <v>22</v>
      </c>
      <c r="B25" s="351" t="s">
        <v>27</v>
      </c>
      <c r="C25" s="348">
        <v>1094885534</v>
      </c>
      <c r="D25" s="396" t="s">
        <v>920</v>
      </c>
      <c r="E25" s="360">
        <v>44963</v>
      </c>
      <c r="F25" s="319" t="s">
        <v>21</v>
      </c>
      <c r="G25" s="319" t="s">
        <v>22</v>
      </c>
      <c r="H25" s="361">
        <v>4.92</v>
      </c>
      <c r="I25" s="319" t="s">
        <v>759</v>
      </c>
      <c r="J25" s="319">
        <v>3</v>
      </c>
      <c r="K25" s="320" t="s">
        <v>757</v>
      </c>
      <c r="L25" s="351"/>
    </row>
    <row r="26" spans="1:12" ht="25.5" x14ac:dyDescent="0.2">
      <c r="A26" s="38">
        <v>23</v>
      </c>
      <c r="B26" s="347" t="s">
        <v>956</v>
      </c>
      <c r="C26" s="319">
        <v>71600566</v>
      </c>
      <c r="D26" s="351" t="s">
        <v>959</v>
      </c>
      <c r="E26" s="350">
        <v>34974</v>
      </c>
      <c r="F26" s="319" t="s">
        <v>17</v>
      </c>
      <c r="G26" s="319" t="s">
        <v>22</v>
      </c>
      <c r="H26" s="319">
        <v>4.92</v>
      </c>
      <c r="I26" s="319" t="s">
        <v>772</v>
      </c>
      <c r="J26" s="319">
        <v>3</v>
      </c>
      <c r="K26" s="320" t="s">
        <v>757</v>
      </c>
      <c r="L26" s="351"/>
    </row>
    <row r="27" spans="1:12" x14ac:dyDescent="0.2">
      <c r="A27" s="472" t="s">
        <v>1002</v>
      </c>
      <c r="B27" s="473"/>
      <c r="C27" s="473"/>
      <c r="D27" s="473"/>
      <c r="E27" s="473"/>
      <c r="F27" s="473"/>
      <c r="G27" s="473"/>
      <c r="H27" s="473"/>
      <c r="I27" s="473"/>
      <c r="J27" s="473"/>
      <c r="K27" s="473"/>
      <c r="L27" s="474"/>
    </row>
    <row r="29" spans="1:12" x14ac:dyDescent="0.2">
      <c r="A29" s="389" t="s">
        <v>1003</v>
      </c>
      <c r="B29" s="173"/>
      <c r="C29" s="389"/>
      <c r="D29" s="153"/>
      <c r="F29" s="427"/>
      <c r="G29" s="422"/>
      <c r="H29" s="422"/>
      <c r="I29" s="422"/>
      <c r="J29" s="422"/>
      <c r="K29" s="424"/>
      <c r="L29" s="153"/>
    </row>
    <row r="30" spans="1:12" x14ac:dyDescent="0.2">
      <c r="A30" s="422"/>
      <c r="B30" s="173"/>
      <c r="C30" s="389"/>
      <c r="D30" s="153"/>
      <c r="F30" s="427"/>
      <c r="G30" s="422"/>
      <c r="H30" s="422"/>
      <c r="I30" s="422"/>
      <c r="J30" s="422"/>
      <c r="K30" s="424"/>
      <c r="L30" s="153"/>
    </row>
    <row r="31" spans="1:12" x14ac:dyDescent="0.2">
      <c r="B31" s="173"/>
      <c r="C31" s="422"/>
      <c r="D31" s="153"/>
      <c r="F31" s="427"/>
      <c r="G31" s="422"/>
      <c r="H31" s="422"/>
      <c r="I31" s="422"/>
      <c r="J31" s="422"/>
      <c r="K31" s="424"/>
      <c r="L31" s="153"/>
    </row>
    <row r="32" spans="1:12" x14ac:dyDescent="0.2">
      <c r="B32" s="389"/>
      <c r="C32" s="422"/>
      <c r="D32" s="424" t="s">
        <v>96</v>
      </c>
      <c r="F32" s="427"/>
      <c r="G32" s="437" t="s">
        <v>1004</v>
      </c>
      <c r="H32" s="437"/>
      <c r="I32" s="437"/>
      <c r="J32" s="437"/>
      <c r="K32" s="424"/>
      <c r="L32" s="153"/>
    </row>
    <row r="33" spans="3:12" x14ac:dyDescent="0.2">
      <c r="C33" s="390"/>
      <c r="D33" s="423" t="s">
        <v>14</v>
      </c>
      <c r="E33" s="390"/>
      <c r="F33" s="176"/>
      <c r="G33" s="438" t="s">
        <v>18</v>
      </c>
      <c r="H33" s="438"/>
      <c r="I33" s="438"/>
      <c r="J33" s="438"/>
    </row>
    <row r="34" spans="3:12" x14ac:dyDescent="0.2">
      <c r="C34" s="176"/>
      <c r="D34" s="424" t="s">
        <v>65</v>
      </c>
      <c r="E34" s="176"/>
      <c r="F34" s="176"/>
      <c r="G34" s="439" t="s">
        <v>20</v>
      </c>
      <c r="H34" s="439"/>
      <c r="I34" s="439"/>
      <c r="J34" s="439"/>
    </row>
    <row r="35" spans="3:12" x14ac:dyDescent="0.2">
      <c r="C35" s="176"/>
      <c r="D35" s="424" t="s">
        <v>15</v>
      </c>
      <c r="E35" s="176"/>
      <c r="F35" s="176"/>
      <c r="G35" s="173"/>
      <c r="H35" s="439" t="s">
        <v>16</v>
      </c>
      <c r="I35" s="439"/>
      <c r="J35" s="176"/>
    </row>
    <row r="36" spans="3:12" x14ac:dyDescent="0.2">
      <c r="C36" s="422"/>
      <c r="D36" s="153"/>
      <c r="F36" s="427"/>
      <c r="G36" s="422"/>
      <c r="H36" s="422"/>
      <c r="I36" s="422"/>
      <c r="J36" s="422"/>
      <c r="K36" s="424"/>
      <c r="L36" s="153"/>
    </row>
  </sheetData>
  <mergeCells count="7">
    <mergeCell ref="H35:I35"/>
    <mergeCell ref="A1:L1"/>
    <mergeCell ref="A2:L2"/>
    <mergeCell ref="A27:L27"/>
    <mergeCell ref="G32:J32"/>
    <mergeCell ref="G33:J33"/>
    <mergeCell ref="G34:J34"/>
  </mergeCells>
  <printOptions horizontalCentered="1"/>
  <pageMargins left="0.70866141732283472" right="0.70866141732283472" top="0.74803149606299213" bottom="0.74803149606299213" header="0.31496062992125984" footer="0.31496062992125984"/>
  <pageSetup paperSize="258" scale="75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8316D-8DF7-4E42-BEB0-C98895952153}">
  <sheetPr>
    <tabColor theme="6" tint="0.39997558519241921"/>
  </sheetPr>
  <dimension ref="A1:L32"/>
  <sheetViews>
    <sheetView topLeftCell="A10" workbookViewId="0">
      <selection activeCell="D17" sqref="D17"/>
    </sheetView>
  </sheetViews>
  <sheetFormatPr baseColWidth="10" defaultRowHeight="12.75" x14ac:dyDescent="0.25"/>
  <cols>
    <col min="1" max="1" width="5.5703125" style="312" customWidth="1"/>
    <col min="2" max="2" width="29" style="389" customWidth="1"/>
    <col min="3" max="3" width="14.28515625" style="312" customWidth="1"/>
    <col min="4" max="4" width="30.42578125" style="153" customWidth="1"/>
    <col min="5" max="5" width="10.85546875" style="312" customWidth="1"/>
    <col min="6" max="6" width="12.85546875" style="312" customWidth="1"/>
    <col min="7" max="7" width="10.7109375" style="312" customWidth="1"/>
    <col min="8" max="8" width="12.7109375" style="312" customWidth="1"/>
    <col min="9" max="9" width="12.85546875" style="312" customWidth="1"/>
    <col min="10" max="10" width="11.85546875" style="312" bestFit="1" customWidth="1"/>
    <col min="11" max="11" width="9.7109375" style="312" customWidth="1"/>
    <col min="12" max="12" width="36.140625" style="312" customWidth="1"/>
    <col min="13" max="16384" width="11.42578125" style="312"/>
  </cols>
  <sheetData>
    <row r="1" spans="1:12" ht="17.25" customHeight="1" x14ac:dyDescent="0.25">
      <c r="A1" s="470" t="s">
        <v>994</v>
      </c>
      <c r="B1" s="475"/>
      <c r="C1" s="475"/>
      <c r="D1" s="475"/>
      <c r="E1" s="475"/>
      <c r="F1" s="475"/>
      <c r="G1" s="475"/>
      <c r="H1" s="475"/>
      <c r="I1" s="475"/>
      <c r="J1" s="475"/>
      <c r="K1" s="475"/>
      <c r="L1" s="475"/>
    </row>
    <row r="2" spans="1:12" ht="17.25" customHeight="1" x14ac:dyDescent="0.25">
      <c r="A2" s="470" t="s">
        <v>1005</v>
      </c>
      <c r="B2" s="475"/>
      <c r="C2" s="475"/>
      <c r="D2" s="475"/>
      <c r="E2" s="475"/>
      <c r="F2" s="475"/>
      <c r="G2" s="475"/>
      <c r="H2" s="475"/>
      <c r="I2" s="475"/>
      <c r="J2" s="475"/>
      <c r="K2" s="475"/>
      <c r="L2" s="475"/>
    </row>
    <row r="3" spans="1:12" ht="38.25" x14ac:dyDescent="0.25">
      <c r="A3" s="335" t="s">
        <v>5</v>
      </c>
      <c r="B3" s="336" t="s">
        <v>32</v>
      </c>
      <c r="C3" s="336" t="s">
        <v>748</v>
      </c>
      <c r="D3" s="336" t="s">
        <v>749</v>
      </c>
      <c r="E3" s="336" t="s">
        <v>750</v>
      </c>
      <c r="F3" s="336" t="s">
        <v>751</v>
      </c>
      <c r="G3" s="336" t="s">
        <v>87</v>
      </c>
      <c r="H3" s="337" t="s">
        <v>752</v>
      </c>
      <c r="I3" s="338" t="s">
        <v>753</v>
      </c>
      <c r="J3" s="338" t="s">
        <v>754</v>
      </c>
      <c r="K3" s="339" t="s">
        <v>755</v>
      </c>
      <c r="L3" s="336" t="s">
        <v>30</v>
      </c>
    </row>
    <row r="4" spans="1:12" ht="25.5" x14ac:dyDescent="0.25">
      <c r="A4" s="319">
        <v>1</v>
      </c>
      <c r="B4" s="351" t="s">
        <v>938</v>
      </c>
      <c r="C4" s="353">
        <v>9772119</v>
      </c>
      <c r="D4" s="351" t="s">
        <v>943</v>
      </c>
      <c r="E4" s="322">
        <v>42955</v>
      </c>
      <c r="F4" s="319" t="s">
        <v>17</v>
      </c>
      <c r="G4" s="319" t="s">
        <v>10</v>
      </c>
      <c r="H4" s="319">
        <v>4.9800000000000004</v>
      </c>
      <c r="I4" s="319" t="s">
        <v>772</v>
      </c>
      <c r="J4" s="319">
        <v>4</v>
      </c>
      <c r="K4" s="320" t="s">
        <v>757</v>
      </c>
      <c r="L4" s="351"/>
    </row>
    <row r="5" spans="1:12" ht="25.5" x14ac:dyDescent="0.25">
      <c r="A5" s="319">
        <v>2</v>
      </c>
      <c r="B5" s="347" t="s">
        <v>944</v>
      </c>
      <c r="C5" s="319">
        <v>41939761</v>
      </c>
      <c r="D5" s="351" t="s">
        <v>426</v>
      </c>
      <c r="E5" s="350">
        <v>40203</v>
      </c>
      <c r="F5" s="319" t="s">
        <v>21</v>
      </c>
      <c r="G5" s="319" t="s">
        <v>10</v>
      </c>
      <c r="H5" s="319">
        <v>4.9800000000000004</v>
      </c>
      <c r="I5" s="319" t="s">
        <v>775</v>
      </c>
      <c r="J5" s="319">
        <v>4</v>
      </c>
      <c r="K5" s="320" t="s">
        <v>757</v>
      </c>
      <c r="L5" s="351"/>
    </row>
    <row r="6" spans="1:12" ht="51" x14ac:dyDescent="0.25">
      <c r="A6" s="319">
        <v>3</v>
      </c>
      <c r="B6" s="351" t="s">
        <v>80</v>
      </c>
      <c r="C6" s="319">
        <v>89007291</v>
      </c>
      <c r="D6" s="351" t="s">
        <v>976</v>
      </c>
      <c r="E6" s="350">
        <v>39142</v>
      </c>
      <c r="F6" s="319" t="s">
        <v>21</v>
      </c>
      <c r="G6" s="319" t="s">
        <v>10</v>
      </c>
      <c r="H6" s="361">
        <v>4.9800000000000004</v>
      </c>
      <c r="I6" s="319" t="s">
        <v>763</v>
      </c>
      <c r="J6" s="319">
        <v>3.9</v>
      </c>
      <c r="K6" s="320" t="s">
        <v>757</v>
      </c>
      <c r="L6" s="351" t="s">
        <v>1006</v>
      </c>
    </row>
    <row r="7" spans="1:12" ht="25.5" x14ac:dyDescent="0.25">
      <c r="A7" s="319">
        <v>4</v>
      </c>
      <c r="B7" s="347" t="s">
        <v>870</v>
      </c>
      <c r="C7" s="319">
        <v>18397507</v>
      </c>
      <c r="D7" s="351" t="s">
        <v>885</v>
      </c>
      <c r="E7" s="322">
        <v>41872</v>
      </c>
      <c r="F7" s="319" t="s">
        <v>21</v>
      </c>
      <c r="G7" s="319" t="s">
        <v>10</v>
      </c>
      <c r="H7" s="361">
        <v>4.97</v>
      </c>
      <c r="I7" s="319" t="s">
        <v>775</v>
      </c>
      <c r="J7" s="319">
        <v>4</v>
      </c>
      <c r="K7" s="320" t="s">
        <v>757</v>
      </c>
      <c r="L7" s="347"/>
    </row>
    <row r="8" spans="1:12" x14ac:dyDescent="0.25">
      <c r="A8" s="319">
        <v>5</v>
      </c>
      <c r="B8" s="347" t="s">
        <v>283</v>
      </c>
      <c r="C8" s="353">
        <v>41914225</v>
      </c>
      <c r="D8" s="351" t="s">
        <v>848</v>
      </c>
      <c r="E8" s="322">
        <v>42955</v>
      </c>
      <c r="F8" s="319" t="s">
        <v>17</v>
      </c>
      <c r="G8" s="319" t="s">
        <v>10</v>
      </c>
      <c r="H8" s="319">
        <v>4.96</v>
      </c>
      <c r="I8" s="319" t="s">
        <v>775</v>
      </c>
      <c r="J8" s="319">
        <v>4</v>
      </c>
      <c r="K8" s="320" t="s">
        <v>757</v>
      </c>
      <c r="L8" s="351"/>
    </row>
    <row r="9" spans="1:12" x14ac:dyDescent="0.25">
      <c r="A9" s="319">
        <v>6</v>
      </c>
      <c r="B9" s="347" t="s">
        <v>283</v>
      </c>
      <c r="C9" s="353">
        <v>34536538</v>
      </c>
      <c r="D9" s="351" t="s">
        <v>850</v>
      </c>
      <c r="E9" s="322">
        <v>42955</v>
      </c>
      <c r="F9" s="319" t="s">
        <v>17</v>
      </c>
      <c r="G9" s="319" t="s">
        <v>10</v>
      </c>
      <c r="H9" s="319">
        <v>4.96</v>
      </c>
      <c r="I9" s="319" t="s">
        <v>775</v>
      </c>
      <c r="J9" s="319">
        <v>4</v>
      </c>
      <c r="K9" s="320" t="s">
        <v>757</v>
      </c>
      <c r="L9" s="351"/>
    </row>
    <row r="10" spans="1:12" x14ac:dyDescent="0.25">
      <c r="A10" s="319">
        <v>7</v>
      </c>
      <c r="B10" s="347" t="s">
        <v>309</v>
      </c>
      <c r="C10" s="353">
        <v>43876871</v>
      </c>
      <c r="D10" s="351" t="s">
        <v>865</v>
      </c>
      <c r="E10" s="350">
        <v>41963</v>
      </c>
      <c r="F10" s="319" t="s">
        <v>866</v>
      </c>
      <c r="G10" s="320" t="s">
        <v>10</v>
      </c>
      <c r="H10" s="319">
        <v>4.96</v>
      </c>
      <c r="I10" s="319" t="s">
        <v>772</v>
      </c>
      <c r="J10" s="319">
        <v>4</v>
      </c>
      <c r="K10" s="320" t="s">
        <v>757</v>
      </c>
      <c r="L10" s="351"/>
    </row>
    <row r="11" spans="1:12" x14ac:dyDescent="0.25">
      <c r="A11" s="319">
        <v>8</v>
      </c>
      <c r="B11" s="347" t="s">
        <v>309</v>
      </c>
      <c r="C11" s="353">
        <v>79326473</v>
      </c>
      <c r="D11" s="351" t="s">
        <v>313</v>
      </c>
      <c r="E11" s="350">
        <v>41673</v>
      </c>
      <c r="F11" s="319" t="s">
        <v>21</v>
      </c>
      <c r="G11" s="319" t="s">
        <v>10</v>
      </c>
      <c r="H11" s="319">
        <v>4.96</v>
      </c>
      <c r="I11" s="319" t="s">
        <v>760</v>
      </c>
      <c r="J11" s="319">
        <v>4</v>
      </c>
      <c r="K11" s="320" t="s">
        <v>757</v>
      </c>
      <c r="L11" s="351"/>
    </row>
    <row r="12" spans="1:12" ht="25.5" x14ac:dyDescent="0.25">
      <c r="A12" s="319">
        <v>9</v>
      </c>
      <c r="B12" s="351" t="s">
        <v>938</v>
      </c>
      <c r="C12" s="319">
        <v>8152735</v>
      </c>
      <c r="D12" s="351" t="s">
        <v>940</v>
      </c>
      <c r="E12" s="350">
        <v>40203</v>
      </c>
      <c r="F12" s="319" t="s">
        <v>21</v>
      </c>
      <c r="G12" s="319" t="s">
        <v>10</v>
      </c>
      <c r="H12" s="359">
        <v>4.96</v>
      </c>
      <c r="I12" s="319" t="s">
        <v>760</v>
      </c>
      <c r="J12" s="319">
        <v>4</v>
      </c>
      <c r="K12" s="320" t="s">
        <v>757</v>
      </c>
      <c r="L12" s="351"/>
    </row>
    <row r="13" spans="1:12" x14ac:dyDescent="0.25">
      <c r="A13" s="319">
        <v>10</v>
      </c>
      <c r="B13" s="347" t="s">
        <v>74</v>
      </c>
      <c r="C13" s="353">
        <v>18399636</v>
      </c>
      <c r="D13" s="351" t="s">
        <v>894</v>
      </c>
      <c r="E13" s="350">
        <v>40203</v>
      </c>
      <c r="F13" s="319" t="s">
        <v>21</v>
      </c>
      <c r="G13" s="319" t="s">
        <v>350</v>
      </c>
      <c r="H13" s="361">
        <v>4.95</v>
      </c>
      <c r="I13" s="320" t="s">
        <v>760</v>
      </c>
      <c r="J13" s="319">
        <v>4</v>
      </c>
      <c r="K13" s="320" t="s">
        <v>757</v>
      </c>
      <c r="L13" s="351"/>
    </row>
    <row r="14" spans="1:12" x14ac:dyDescent="0.25">
      <c r="A14" s="319">
        <v>11</v>
      </c>
      <c r="B14" s="347" t="s">
        <v>67</v>
      </c>
      <c r="C14" s="319">
        <v>24580998</v>
      </c>
      <c r="D14" s="351" t="s">
        <v>804</v>
      </c>
      <c r="E14" s="350">
        <v>39660</v>
      </c>
      <c r="F14" s="319" t="s">
        <v>17</v>
      </c>
      <c r="G14" s="319" t="s">
        <v>10</v>
      </c>
      <c r="H14" s="359">
        <v>4.9400000000000004</v>
      </c>
      <c r="I14" s="320" t="s">
        <v>760</v>
      </c>
      <c r="J14" s="319">
        <v>4</v>
      </c>
      <c r="K14" s="320" t="s">
        <v>757</v>
      </c>
      <c r="L14" s="351"/>
    </row>
    <row r="15" spans="1:12" x14ac:dyDescent="0.25">
      <c r="A15" s="319">
        <v>12</v>
      </c>
      <c r="B15" s="347" t="s">
        <v>57</v>
      </c>
      <c r="C15" s="319">
        <v>42144287</v>
      </c>
      <c r="D15" s="351" t="s">
        <v>491</v>
      </c>
      <c r="E15" s="322">
        <v>41872</v>
      </c>
      <c r="F15" s="348" t="s">
        <v>21</v>
      </c>
      <c r="G15" s="319" t="s">
        <v>10</v>
      </c>
      <c r="H15" s="320">
        <v>4.9400000000000004</v>
      </c>
      <c r="I15" s="319" t="s">
        <v>775</v>
      </c>
      <c r="J15" s="319">
        <v>4</v>
      </c>
      <c r="K15" s="320" t="s">
        <v>757</v>
      </c>
      <c r="L15" s="351"/>
    </row>
    <row r="16" spans="1:12" ht="51" x14ac:dyDescent="0.25">
      <c r="A16" s="319">
        <v>13</v>
      </c>
      <c r="B16" s="347" t="s">
        <v>67</v>
      </c>
      <c r="C16" s="319">
        <v>41935858</v>
      </c>
      <c r="D16" s="351" t="s">
        <v>809</v>
      </c>
      <c r="E16" s="350">
        <v>40947</v>
      </c>
      <c r="F16" s="319" t="s">
        <v>17</v>
      </c>
      <c r="G16" s="319" t="s">
        <v>10</v>
      </c>
      <c r="H16" s="319">
        <v>4.93</v>
      </c>
      <c r="I16" s="319" t="s">
        <v>772</v>
      </c>
      <c r="J16" s="319">
        <v>3.7</v>
      </c>
      <c r="K16" s="320" t="s">
        <v>757</v>
      </c>
      <c r="L16" s="351" t="s">
        <v>1007</v>
      </c>
    </row>
    <row r="17" spans="1:12" ht="25.5" x14ac:dyDescent="0.25">
      <c r="A17" s="319">
        <v>14</v>
      </c>
      <c r="B17" s="351" t="s">
        <v>78</v>
      </c>
      <c r="C17" s="353">
        <v>52377890</v>
      </c>
      <c r="D17" s="351" t="s">
        <v>910</v>
      </c>
      <c r="E17" s="322">
        <v>42955</v>
      </c>
      <c r="F17" s="319" t="s">
        <v>21</v>
      </c>
      <c r="G17" s="319" t="s">
        <v>10</v>
      </c>
      <c r="H17" s="319">
        <v>4.93</v>
      </c>
      <c r="I17" s="319" t="s">
        <v>772</v>
      </c>
      <c r="J17" s="319">
        <v>4</v>
      </c>
      <c r="K17" s="320" t="s">
        <v>757</v>
      </c>
      <c r="L17" s="351"/>
    </row>
    <row r="18" spans="1:12" ht="25.5" x14ac:dyDescent="0.25">
      <c r="A18" s="319">
        <v>15</v>
      </c>
      <c r="B18" s="351" t="s">
        <v>927</v>
      </c>
      <c r="C18" s="319">
        <v>18387759</v>
      </c>
      <c r="D18" s="351" t="s">
        <v>931</v>
      </c>
      <c r="E18" s="350">
        <v>40947</v>
      </c>
      <c r="F18" s="319" t="s">
        <v>17</v>
      </c>
      <c r="G18" s="319" t="s">
        <v>10</v>
      </c>
      <c r="H18" s="381">
        <v>4.93</v>
      </c>
      <c r="I18" s="319" t="s">
        <v>760</v>
      </c>
      <c r="J18" s="319">
        <v>4</v>
      </c>
      <c r="K18" s="320" t="s">
        <v>757</v>
      </c>
      <c r="L18" s="351"/>
    </row>
    <row r="19" spans="1:12" x14ac:dyDescent="0.25">
      <c r="A19" s="319">
        <v>16</v>
      </c>
      <c r="B19" s="347" t="s">
        <v>58</v>
      </c>
      <c r="C19" s="319">
        <v>41902205</v>
      </c>
      <c r="D19" s="351" t="s">
        <v>453</v>
      </c>
      <c r="E19" s="350">
        <v>35828</v>
      </c>
      <c r="F19" s="319" t="s">
        <v>17</v>
      </c>
      <c r="G19" s="319" t="s">
        <v>10</v>
      </c>
      <c r="H19" s="359">
        <v>4.93</v>
      </c>
      <c r="I19" s="319" t="s">
        <v>772</v>
      </c>
      <c r="J19" s="319">
        <v>4</v>
      </c>
      <c r="K19" s="320" t="s">
        <v>757</v>
      </c>
      <c r="L19" s="347"/>
    </row>
    <row r="20" spans="1:12" x14ac:dyDescent="0.25">
      <c r="A20" s="319">
        <v>17</v>
      </c>
      <c r="B20" s="347" t="s">
        <v>57</v>
      </c>
      <c r="C20" s="353">
        <v>79567036</v>
      </c>
      <c r="D20" s="351" t="s">
        <v>983</v>
      </c>
      <c r="E20" s="350">
        <v>43864</v>
      </c>
      <c r="F20" s="319" t="s">
        <v>17</v>
      </c>
      <c r="G20" s="319" t="s">
        <v>10</v>
      </c>
      <c r="H20" s="319">
        <v>4.93</v>
      </c>
      <c r="I20" s="320" t="s">
        <v>759</v>
      </c>
      <c r="J20" s="319">
        <v>4</v>
      </c>
      <c r="K20" s="320" t="s">
        <v>757</v>
      </c>
      <c r="L20" s="351"/>
    </row>
    <row r="21" spans="1:12" x14ac:dyDescent="0.25">
      <c r="A21" s="319">
        <v>18</v>
      </c>
      <c r="B21" s="347" t="s">
        <v>63</v>
      </c>
      <c r="C21" s="319">
        <v>89006026</v>
      </c>
      <c r="D21" s="351" t="s">
        <v>856</v>
      </c>
      <c r="E21" s="350">
        <v>39142</v>
      </c>
      <c r="F21" s="319" t="s">
        <v>17</v>
      </c>
      <c r="G21" s="319" t="s">
        <v>10</v>
      </c>
      <c r="H21" s="319">
        <v>4.92</v>
      </c>
      <c r="I21" s="319" t="s">
        <v>760</v>
      </c>
      <c r="J21" s="319">
        <v>4</v>
      </c>
      <c r="K21" s="320" t="s">
        <v>757</v>
      </c>
      <c r="L21" s="351"/>
    </row>
    <row r="22" spans="1:12" x14ac:dyDescent="0.25">
      <c r="A22" s="319">
        <v>19</v>
      </c>
      <c r="B22" s="347" t="s">
        <v>870</v>
      </c>
      <c r="C22" s="319">
        <v>94286282</v>
      </c>
      <c r="D22" s="351" t="s">
        <v>871</v>
      </c>
      <c r="E22" s="350">
        <v>40203</v>
      </c>
      <c r="F22" s="319" t="s">
        <v>21</v>
      </c>
      <c r="G22" s="319" t="s">
        <v>10</v>
      </c>
      <c r="H22" s="361">
        <v>4.92</v>
      </c>
      <c r="I22" s="319" t="s">
        <v>775</v>
      </c>
      <c r="J22" s="319">
        <v>4</v>
      </c>
      <c r="K22" s="320" t="s">
        <v>757</v>
      </c>
      <c r="L22" s="347"/>
    </row>
    <row r="23" spans="1:12" ht="51" x14ac:dyDescent="0.25">
      <c r="A23" s="319">
        <v>20</v>
      </c>
      <c r="B23" s="347" t="s">
        <v>870</v>
      </c>
      <c r="C23" s="353">
        <v>18401163</v>
      </c>
      <c r="D23" s="351" t="s">
        <v>337</v>
      </c>
      <c r="E23" s="322">
        <v>43864</v>
      </c>
      <c r="F23" s="319" t="s">
        <v>17</v>
      </c>
      <c r="G23" s="319" t="s">
        <v>10</v>
      </c>
      <c r="H23" s="319">
        <v>4.92</v>
      </c>
      <c r="I23" s="319" t="s">
        <v>760</v>
      </c>
      <c r="J23" s="319">
        <v>3.1</v>
      </c>
      <c r="K23" s="320" t="s">
        <v>757</v>
      </c>
      <c r="L23" s="351" t="s">
        <v>1008</v>
      </c>
    </row>
    <row r="24" spans="1:12" x14ac:dyDescent="0.25">
      <c r="A24" s="472" t="s">
        <v>1002</v>
      </c>
      <c r="B24" s="473"/>
      <c r="C24" s="473"/>
      <c r="D24" s="473"/>
      <c r="E24" s="473"/>
      <c r="F24" s="473"/>
      <c r="G24" s="473"/>
      <c r="H24" s="473"/>
      <c r="I24" s="473"/>
      <c r="J24" s="473"/>
      <c r="K24" s="473"/>
      <c r="L24" s="474"/>
    </row>
    <row r="26" spans="1:12" x14ac:dyDescent="0.25">
      <c r="A26" s="389" t="s">
        <v>1009</v>
      </c>
      <c r="B26" s="153"/>
      <c r="K26" s="311"/>
      <c r="L26" s="311"/>
    </row>
    <row r="27" spans="1:12" x14ac:dyDescent="0.25">
      <c r="B27" s="153"/>
      <c r="K27" s="311"/>
      <c r="L27" s="311"/>
    </row>
    <row r="28" spans="1:12" x14ac:dyDescent="0.25">
      <c r="B28" s="153"/>
      <c r="K28" s="311"/>
      <c r="L28" s="311"/>
    </row>
    <row r="29" spans="1:12" x14ac:dyDescent="0.25">
      <c r="B29" s="153"/>
      <c r="D29" s="153" t="s">
        <v>13</v>
      </c>
      <c r="G29" s="437" t="s">
        <v>96</v>
      </c>
      <c r="H29" s="437"/>
      <c r="I29" s="437"/>
      <c r="J29" s="437"/>
      <c r="K29" s="311"/>
      <c r="L29" s="311"/>
    </row>
    <row r="30" spans="1:12" x14ac:dyDescent="0.25">
      <c r="B30" s="153"/>
      <c r="C30" s="313"/>
      <c r="D30" s="423" t="s">
        <v>14</v>
      </c>
      <c r="E30" s="313"/>
      <c r="F30" s="311"/>
      <c r="G30" s="438" t="s">
        <v>18</v>
      </c>
      <c r="H30" s="438"/>
      <c r="I30" s="438"/>
      <c r="J30" s="438"/>
    </row>
    <row r="31" spans="1:12" x14ac:dyDescent="0.25">
      <c r="B31" s="153"/>
      <c r="C31" s="311"/>
      <c r="D31" s="424" t="s">
        <v>65</v>
      </c>
      <c r="E31" s="311"/>
      <c r="F31" s="311"/>
      <c r="G31" s="439" t="s">
        <v>1010</v>
      </c>
      <c r="H31" s="439"/>
      <c r="I31" s="439"/>
      <c r="J31" s="439"/>
    </row>
    <row r="32" spans="1:12" x14ac:dyDescent="0.25">
      <c r="B32" s="153"/>
      <c r="C32" s="311"/>
      <c r="D32" s="424" t="s">
        <v>15</v>
      </c>
      <c r="E32" s="311"/>
      <c r="F32" s="311"/>
      <c r="G32" s="311"/>
      <c r="H32" s="439" t="s">
        <v>16</v>
      </c>
      <c r="I32" s="439"/>
      <c r="J32" s="311"/>
    </row>
  </sheetData>
  <mergeCells count="7">
    <mergeCell ref="H32:I32"/>
    <mergeCell ref="A1:L1"/>
    <mergeCell ref="A2:L2"/>
    <mergeCell ref="A24:L24"/>
    <mergeCell ref="G29:J29"/>
    <mergeCell ref="G30:J30"/>
    <mergeCell ref="G31:J31"/>
  </mergeCells>
  <pageMargins left="0.7" right="0.7" top="0.75" bottom="0.75" header="0.3" footer="0.3"/>
  <pageSetup paperSize="258" scale="75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44071-518A-4051-98DB-BA42BEC2C3B0}">
  <sheetPr>
    <tabColor theme="6" tint="0.39997558519241921"/>
  </sheetPr>
  <dimension ref="A1:L32"/>
  <sheetViews>
    <sheetView topLeftCell="A7" workbookViewId="0">
      <selection activeCell="B16" sqref="B16"/>
    </sheetView>
  </sheetViews>
  <sheetFormatPr baseColWidth="10" defaultRowHeight="12.75" x14ac:dyDescent="0.2"/>
  <cols>
    <col min="1" max="1" width="5.5703125" style="321" customWidth="1"/>
    <col min="2" max="2" width="29.5703125" style="321" bestFit="1" customWidth="1"/>
    <col min="3" max="3" width="14.140625" style="321" customWidth="1"/>
    <col min="4" max="4" width="30.28515625" style="173" bestFit="1" customWidth="1"/>
    <col min="5" max="6" width="11.42578125" style="321"/>
    <col min="7" max="7" width="11.140625" style="321" customWidth="1"/>
    <col min="8" max="8" width="12.42578125" style="321" customWidth="1"/>
    <col min="9" max="9" width="13.42578125" style="321" customWidth="1"/>
    <col min="10" max="10" width="12.5703125" style="321" customWidth="1"/>
    <col min="11" max="11" width="9.140625" style="321" customWidth="1"/>
    <col min="12" max="12" width="34.42578125" style="321" customWidth="1"/>
    <col min="13" max="16384" width="11.42578125" style="321"/>
  </cols>
  <sheetData>
    <row r="1" spans="1:12" ht="18" customHeight="1" x14ac:dyDescent="0.2">
      <c r="A1" s="470" t="s">
        <v>994</v>
      </c>
      <c r="B1" s="471"/>
      <c r="C1" s="471"/>
      <c r="D1" s="471"/>
      <c r="E1" s="471"/>
      <c r="F1" s="471"/>
      <c r="G1" s="471"/>
      <c r="H1" s="471"/>
      <c r="I1" s="471"/>
      <c r="J1" s="471"/>
      <c r="K1" s="471"/>
      <c r="L1" s="471"/>
    </row>
    <row r="2" spans="1:12" ht="18" customHeight="1" x14ac:dyDescent="0.2">
      <c r="A2" s="470" t="s">
        <v>1011</v>
      </c>
      <c r="B2" s="471"/>
      <c r="C2" s="471"/>
      <c r="D2" s="471"/>
      <c r="E2" s="471"/>
      <c r="F2" s="471"/>
      <c r="G2" s="471"/>
      <c r="H2" s="471"/>
      <c r="I2" s="471"/>
      <c r="J2" s="471"/>
      <c r="K2" s="471"/>
      <c r="L2" s="471"/>
    </row>
    <row r="3" spans="1:12" ht="38.25" x14ac:dyDescent="0.2">
      <c r="A3" s="397" t="s">
        <v>5</v>
      </c>
      <c r="B3" s="398" t="s">
        <v>32</v>
      </c>
      <c r="C3" s="398" t="s">
        <v>748</v>
      </c>
      <c r="D3" s="398" t="s">
        <v>749</v>
      </c>
      <c r="E3" s="398" t="s">
        <v>750</v>
      </c>
      <c r="F3" s="398" t="s">
        <v>751</v>
      </c>
      <c r="G3" s="398" t="s">
        <v>87</v>
      </c>
      <c r="H3" s="399" t="s">
        <v>752</v>
      </c>
      <c r="I3" s="400" t="s">
        <v>753</v>
      </c>
      <c r="J3" s="400" t="s">
        <v>996</v>
      </c>
      <c r="K3" s="401" t="s">
        <v>755</v>
      </c>
      <c r="L3" s="398" t="s">
        <v>30</v>
      </c>
    </row>
    <row r="4" spans="1:12" ht="19.5" customHeight="1" x14ac:dyDescent="0.2">
      <c r="A4" s="319">
        <v>1</v>
      </c>
      <c r="B4" s="347" t="s">
        <v>905</v>
      </c>
      <c r="C4" s="319">
        <v>16356361</v>
      </c>
      <c r="D4" s="351" t="s">
        <v>364</v>
      </c>
      <c r="E4" s="350">
        <v>36923</v>
      </c>
      <c r="F4" s="319" t="s">
        <v>21</v>
      </c>
      <c r="G4" s="319" t="s">
        <v>11</v>
      </c>
      <c r="H4" s="361">
        <v>5</v>
      </c>
      <c r="I4" s="319" t="s">
        <v>760</v>
      </c>
      <c r="J4" s="319">
        <v>5</v>
      </c>
      <c r="K4" s="320" t="s">
        <v>757</v>
      </c>
      <c r="L4" s="351"/>
    </row>
    <row r="5" spans="1:12" ht="19.5" customHeight="1" x14ac:dyDescent="0.2">
      <c r="A5" s="319">
        <v>2</v>
      </c>
      <c r="B5" s="351" t="s">
        <v>80</v>
      </c>
      <c r="C5" s="319">
        <v>89001416</v>
      </c>
      <c r="D5" s="351" t="s">
        <v>483</v>
      </c>
      <c r="E5" s="350">
        <v>39664</v>
      </c>
      <c r="F5" s="319" t="s">
        <v>21</v>
      </c>
      <c r="G5" s="319" t="s">
        <v>11</v>
      </c>
      <c r="H5" s="361">
        <v>5</v>
      </c>
      <c r="I5" s="319" t="s">
        <v>763</v>
      </c>
      <c r="J5" s="319">
        <v>5</v>
      </c>
      <c r="K5" s="320" t="s">
        <v>757</v>
      </c>
      <c r="L5" s="351"/>
    </row>
    <row r="6" spans="1:12" ht="19.5" customHeight="1" x14ac:dyDescent="0.2">
      <c r="A6" s="319">
        <v>3</v>
      </c>
      <c r="B6" s="351" t="s">
        <v>938</v>
      </c>
      <c r="C6" s="319">
        <v>94501347</v>
      </c>
      <c r="D6" s="298" t="s">
        <v>405</v>
      </c>
      <c r="E6" s="350">
        <v>41673</v>
      </c>
      <c r="F6" s="319" t="s">
        <v>21</v>
      </c>
      <c r="G6" s="319" t="s">
        <v>11</v>
      </c>
      <c r="H6" s="319">
        <v>4.99</v>
      </c>
      <c r="I6" s="319" t="s">
        <v>775</v>
      </c>
      <c r="J6" s="319">
        <v>5</v>
      </c>
      <c r="K6" s="320" t="s">
        <v>757</v>
      </c>
      <c r="L6" s="347"/>
    </row>
    <row r="7" spans="1:12" ht="19.5" customHeight="1" x14ac:dyDescent="0.2">
      <c r="A7" s="319">
        <v>4</v>
      </c>
      <c r="B7" s="347" t="s">
        <v>944</v>
      </c>
      <c r="C7" s="319">
        <v>4376943</v>
      </c>
      <c r="D7" s="351" t="s">
        <v>945</v>
      </c>
      <c r="E7" s="350">
        <v>38027</v>
      </c>
      <c r="F7" s="319" t="s">
        <v>21</v>
      </c>
      <c r="G7" s="319" t="s">
        <v>11</v>
      </c>
      <c r="H7" s="361">
        <v>4.9800000000000004</v>
      </c>
      <c r="I7" s="319" t="s">
        <v>759</v>
      </c>
      <c r="J7" s="319">
        <v>5</v>
      </c>
      <c r="K7" s="320" t="s">
        <v>757</v>
      </c>
      <c r="L7" s="351"/>
    </row>
    <row r="8" spans="1:12" ht="19.5" customHeight="1" x14ac:dyDescent="0.2">
      <c r="A8" s="319">
        <v>5</v>
      </c>
      <c r="B8" s="351" t="s">
        <v>501</v>
      </c>
      <c r="C8" s="319">
        <v>10276247</v>
      </c>
      <c r="D8" s="351" t="s">
        <v>504</v>
      </c>
      <c r="E8" s="350">
        <v>40210</v>
      </c>
      <c r="F8" s="319" t="s">
        <v>21</v>
      </c>
      <c r="G8" s="319" t="s">
        <v>11</v>
      </c>
      <c r="H8" s="319">
        <v>4.9800000000000004</v>
      </c>
      <c r="I8" s="319" t="s">
        <v>775</v>
      </c>
      <c r="J8" s="319">
        <v>5</v>
      </c>
      <c r="K8" s="320" t="s">
        <v>757</v>
      </c>
      <c r="L8" s="351"/>
    </row>
    <row r="9" spans="1:12" ht="51" x14ac:dyDescent="0.2">
      <c r="A9" s="319">
        <v>6</v>
      </c>
      <c r="B9" s="351" t="s">
        <v>927</v>
      </c>
      <c r="C9" s="319">
        <v>41936764</v>
      </c>
      <c r="D9" s="351" t="s">
        <v>389</v>
      </c>
      <c r="E9" s="322">
        <v>41872</v>
      </c>
      <c r="F9" s="319" t="s">
        <v>21</v>
      </c>
      <c r="G9" s="319" t="s">
        <v>11</v>
      </c>
      <c r="H9" s="361">
        <v>4.97</v>
      </c>
      <c r="I9" s="319" t="s">
        <v>775</v>
      </c>
      <c r="J9" s="319">
        <v>4.9000000000000004</v>
      </c>
      <c r="K9" s="320" t="s">
        <v>757</v>
      </c>
      <c r="L9" s="351" t="s">
        <v>1012</v>
      </c>
    </row>
    <row r="10" spans="1:12" ht="19.5" customHeight="1" x14ac:dyDescent="0.2">
      <c r="A10" s="319">
        <v>7</v>
      </c>
      <c r="B10" s="347" t="s">
        <v>944</v>
      </c>
      <c r="C10" s="319">
        <v>14241527</v>
      </c>
      <c r="D10" s="351" t="s">
        <v>946</v>
      </c>
      <c r="E10" s="350">
        <v>37698</v>
      </c>
      <c r="F10" s="319" t="s">
        <v>21</v>
      </c>
      <c r="G10" s="319" t="s">
        <v>11</v>
      </c>
      <c r="H10" s="361">
        <v>4.97</v>
      </c>
      <c r="I10" s="319" t="s">
        <v>760</v>
      </c>
      <c r="J10" s="319">
        <v>5</v>
      </c>
      <c r="K10" s="320" t="s">
        <v>757</v>
      </c>
      <c r="L10" s="347"/>
    </row>
    <row r="11" spans="1:12" ht="19.5" customHeight="1" x14ac:dyDescent="0.2">
      <c r="A11" s="319">
        <v>8</v>
      </c>
      <c r="B11" s="347" t="s">
        <v>921</v>
      </c>
      <c r="C11" s="319">
        <v>41931649</v>
      </c>
      <c r="D11" s="351" t="s">
        <v>923</v>
      </c>
      <c r="E11" s="350">
        <v>41872</v>
      </c>
      <c r="F11" s="319" t="s">
        <v>21</v>
      </c>
      <c r="G11" s="319" t="s">
        <v>11</v>
      </c>
      <c r="H11" s="319">
        <v>4.96</v>
      </c>
      <c r="I11" s="319" t="s">
        <v>775</v>
      </c>
      <c r="J11" s="319">
        <v>5</v>
      </c>
      <c r="K11" s="320" t="s">
        <v>757</v>
      </c>
      <c r="L11" s="351"/>
    </row>
    <row r="12" spans="1:12" ht="51" x14ac:dyDescent="0.2">
      <c r="A12" s="319">
        <v>9</v>
      </c>
      <c r="B12" s="351" t="s">
        <v>785</v>
      </c>
      <c r="C12" s="319">
        <v>41942253</v>
      </c>
      <c r="D12" s="351" t="s">
        <v>786</v>
      </c>
      <c r="E12" s="322">
        <v>41872</v>
      </c>
      <c r="F12" s="319" t="s">
        <v>21</v>
      </c>
      <c r="G12" s="319" t="s">
        <v>11</v>
      </c>
      <c r="H12" s="361">
        <v>4.9400000000000004</v>
      </c>
      <c r="I12" s="361" t="s">
        <v>759</v>
      </c>
      <c r="J12" s="319">
        <v>4.0999999999999996</v>
      </c>
      <c r="K12" s="320" t="s">
        <v>757</v>
      </c>
      <c r="L12" s="351" t="s">
        <v>1013</v>
      </c>
    </row>
    <row r="13" spans="1:12" ht="19.5" customHeight="1" x14ac:dyDescent="0.2">
      <c r="A13" s="319">
        <v>10</v>
      </c>
      <c r="B13" s="347" t="s">
        <v>905</v>
      </c>
      <c r="C13" s="319">
        <v>41885303</v>
      </c>
      <c r="D13" s="351" t="s">
        <v>906</v>
      </c>
      <c r="E13" s="350">
        <v>35828</v>
      </c>
      <c r="F13" s="319" t="s">
        <v>21</v>
      </c>
      <c r="G13" s="319" t="s">
        <v>11</v>
      </c>
      <c r="H13" s="361">
        <v>4.9400000000000004</v>
      </c>
      <c r="I13" s="319" t="s">
        <v>763</v>
      </c>
      <c r="J13" s="319">
        <v>5</v>
      </c>
      <c r="K13" s="320" t="s">
        <v>757</v>
      </c>
      <c r="L13" s="351"/>
    </row>
    <row r="14" spans="1:12" ht="19.5" customHeight="1" x14ac:dyDescent="0.2">
      <c r="A14" s="319">
        <v>11</v>
      </c>
      <c r="B14" s="347" t="s">
        <v>870</v>
      </c>
      <c r="C14" s="319">
        <v>89004671</v>
      </c>
      <c r="D14" s="351" t="s">
        <v>872</v>
      </c>
      <c r="E14" s="350">
        <v>38985</v>
      </c>
      <c r="F14" s="319" t="s">
        <v>21</v>
      </c>
      <c r="G14" s="319" t="s">
        <v>11</v>
      </c>
      <c r="H14" s="361">
        <v>4.93</v>
      </c>
      <c r="I14" s="319" t="s">
        <v>775</v>
      </c>
      <c r="J14" s="319">
        <v>5</v>
      </c>
      <c r="K14" s="320" t="s">
        <v>757</v>
      </c>
      <c r="L14" s="347"/>
    </row>
    <row r="15" spans="1:12" ht="19.5" customHeight="1" x14ac:dyDescent="0.2">
      <c r="A15" s="319">
        <v>12</v>
      </c>
      <c r="B15" s="351" t="s">
        <v>80</v>
      </c>
      <c r="C15" s="319">
        <v>16209177</v>
      </c>
      <c r="D15" s="351" t="s">
        <v>975</v>
      </c>
      <c r="E15" s="350">
        <v>31810</v>
      </c>
      <c r="F15" s="319" t="s">
        <v>17</v>
      </c>
      <c r="G15" s="319" t="s">
        <v>11</v>
      </c>
      <c r="H15" s="319">
        <v>4.93</v>
      </c>
      <c r="I15" s="319" t="s">
        <v>772</v>
      </c>
      <c r="J15" s="319">
        <v>5</v>
      </c>
      <c r="K15" s="320" t="s">
        <v>840</v>
      </c>
      <c r="L15" s="351"/>
    </row>
    <row r="16" spans="1:12" ht="19.5" customHeight="1" x14ac:dyDescent="0.2">
      <c r="A16" s="319">
        <v>13</v>
      </c>
      <c r="B16" s="347" t="s">
        <v>73</v>
      </c>
      <c r="C16" s="319">
        <v>94378416</v>
      </c>
      <c r="D16" s="351" t="s">
        <v>214</v>
      </c>
      <c r="E16" s="350">
        <v>41436</v>
      </c>
      <c r="F16" s="319" t="s">
        <v>21</v>
      </c>
      <c r="G16" s="319" t="s">
        <v>11</v>
      </c>
      <c r="H16" s="319">
        <v>4.92</v>
      </c>
      <c r="I16" s="319" t="s">
        <v>775</v>
      </c>
      <c r="J16" s="319">
        <v>5</v>
      </c>
      <c r="K16" s="320" t="s">
        <v>757</v>
      </c>
      <c r="L16" s="351"/>
    </row>
    <row r="17" spans="1:12" ht="19.5" customHeight="1" x14ac:dyDescent="0.2">
      <c r="A17" s="319">
        <v>14</v>
      </c>
      <c r="B17" s="347" t="s">
        <v>67</v>
      </c>
      <c r="C17" s="319">
        <v>89000779</v>
      </c>
      <c r="D17" s="351" t="s">
        <v>811</v>
      </c>
      <c r="E17" s="350">
        <v>38777</v>
      </c>
      <c r="F17" s="319" t="s">
        <v>21</v>
      </c>
      <c r="G17" s="319" t="s">
        <v>11</v>
      </c>
      <c r="H17" s="319">
        <v>4.92</v>
      </c>
      <c r="I17" s="319" t="s">
        <v>772</v>
      </c>
      <c r="J17" s="319">
        <v>5</v>
      </c>
      <c r="K17" s="320" t="s">
        <v>757</v>
      </c>
      <c r="L17" s="351"/>
    </row>
    <row r="18" spans="1:12" ht="19.5" customHeight="1" x14ac:dyDescent="0.2">
      <c r="A18" s="319">
        <v>15</v>
      </c>
      <c r="B18" s="347" t="s">
        <v>67</v>
      </c>
      <c r="C18" s="319">
        <v>18385247</v>
      </c>
      <c r="D18" s="351" t="s">
        <v>812</v>
      </c>
      <c r="E18" s="350">
        <v>38027</v>
      </c>
      <c r="F18" s="319" t="s">
        <v>17</v>
      </c>
      <c r="G18" s="319" t="s">
        <v>11</v>
      </c>
      <c r="H18" s="319">
        <v>4.92</v>
      </c>
      <c r="I18" s="319" t="s">
        <v>772</v>
      </c>
      <c r="J18" s="319">
        <v>5</v>
      </c>
      <c r="K18" s="320" t="s">
        <v>757</v>
      </c>
      <c r="L18" s="351"/>
    </row>
    <row r="19" spans="1:12" ht="19.5" customHeight="1" x14ac:dyDescent="0.2">
      <c r="A19" s="319">
        <v>16</v>
      </c>
      <c r="B19" s="347" t="s">
        <v>74</v>
      </c>
      <c r="C19" s="319">
        <v>76316780</v>
      </c>
      <c r="D19" s="351" t="s">
        <v>889</v>
      </c>
      <c r="E19" s="350">
        <v>38376</v>
      </c>
      <c r="F19" s="319" t="s">
        <v>21</v>
      </c>
      <c r="G19" s="319" t="s">
        <v>11</v>
      </c>
      <c r="H19" s="320">
        <v>4.92</v>
      </c>
      <c r="I19" s="319" t="s">
        <v>763</v>
      </c>
      <c r="J19" s="319">
        <v>5</v>
      </c>
      <c r="K19" s="320" t="s">
        <v>757</v>
      </c>
      <c r="L19" s="347"/>
    </row>
    <row r="20" spans="1:12" ht="19.5" customHeight="1" x14ac:dyDescent="0.2">
      <c r="A20" s="319">
        <v>17</v>
      </c>
      <c r="B20" s="347" t="s">
        <v>921</v>
      </c>
      <c r="C20" s="319">
        <v>41885800</v>
      </c>
      <c r="D20" s="351" t="s">
        <v>926</v>
      </c>
      <c r="E20" s="350">
        <v>32554</v>
      </c>
      <c r="F20" s="319" t="s">
        <v>17</v>
      </c>
      <c r="G20" s="319" t="s">
        <v>11</v>
      </c>
      <c r="H20" s="319">
        <v>4.92</v>
      </c>
      <c r="I20" s="319" t="s">
        <v>760</v>
      </c>
      <c r="J20" s="319">
        <v>5</v>
      </c>
      <c r="K20" s="320" t="s">
        <v>840</v>
      </c>
      <c r="L20" s="351"/>
    </row>
    <row r="21" spans="1:12" ht="19.5" customHeight="1" x14ac:dyDescent="0.2">
      <c r="A21" s="319">
        <v>18</v>
      </c>
      <c r="B21" s="347" t="s">
        <v>899</v>
      </c>
      <c r="C21" s="319">
        <v>7540504</v>
      </c>
      <c r="D21" s="351" t="s">
        <v>902</v>
      </c>
      <c r="E21" s="350">
        <v>34171</v>
      </c>
      <c r="F21" s="319" t="s">
        <v>17</v>
      </c>
      <c r="G21" s="319" t="s">
        <v>11</v>
      </c>
      <c r="H21" s="361">
        <v>4.91</v>
      </c>
      <c r="I21" s="319" t="s">
        <v>763</v>
      </c>
      <c r="J21" s="319">
        <v>5</v>
      </c>
      <c r="K21" s="320" t="s">
        <v>757</v>
      </c>
      <c r="L21" s="351"/>
    </row>
    <row r="22" spans="1:12" ht="63.75" x14ac:dyDescent="0.2">
      <c r="A22" s="319">
        <v>19</v>
      </c>
      <c r="B22" s="351" t="s">
        <v>27</v>
      </c>
      <c r="C22" s="319">
        <v>17655304</v>
      </c>
      <c r="D22" s="351" t="s">
        <v>917</v>
      </c>
      <c r="E22" s="350">
        <v>40947</v>
      </c>
      <c r="F22" s="319" t="s">
        <v>21</v>
      </c>
      <c r="G22" s="319" t="s">
        <v>11</v>
      </c>
      <c r="H22" s="359">
        <v>4.9000000000000004</v>
      </c>
      <c r="I22" s="319" t="s">
        <v>790</v>
      </c>
      <c r="J22" s="319">
        <v>2.7</v>
      </c>
      <c r="K22" s="320" t="s">
        <v>757</v>
      </c>
      <c r="L22" s="351" t="s">
        <v>1014</v>
      </c>
    </row>
    <row r="23" spans="1:12" ht="19.5" customHeight="1" x14ac:dyDescent="0.2">
      <c r="A23" s="319">
        <v>20</v>
      </c>
      <c r="B23" s="347" t="s">
        <v>944</v>
      </c>
      <c r="C23" s="319">
        <v>18492637</v>
      </c>
      <c r="D23" s="351" t="s">
        <v>428</v>
      </c>
      <c r="E23" s="322">
        <v>41872</v>
      </c>
      <c r="F23" s="319" t="s">
        <v>21</v>
      </c>
      <c r="G23" s="319" t="s">
        <v>11</v>
      </c>
      <c r="H23" s="361">
        <v>4.9000000000000004</v>
      </c>
      <c r="I23" s="319" t="s">
        <v>760</v>
      </c>
      <c r="J23" s="319">
        <v>5</v>
      </c>
      <c r="K23" s="320" t="s">
        <v>757</v>
      </c>
      <c r="L23" s="351"/>
    </row>
    <row r="24" spans="1:12" x14ac:dyDescent="0.2">
      <c r="A24" s="472" t="s">
        <v>1015</v>
      </c>
      <c r="B24" s="473"/>
      <c r="C24" s="473"/>
      <c r="D24" s="473"/>
      <c r="E24" s="473"/>
      <c r="F24" s="473"/>
      <c r="G24" s="473"/>
      <c r="H24" s="473"/>
      <c r="I24" s="473"/>
      <c r="J24" s="473"/>
      <c r="K24" s="473"/>
      <c r="L24" s="474"/>
    </row>
    <row r="25" spans="1:12" x14ac:dyDescent="0.2">
      <c r="A25" s="389"/>
      <c r="B25" s="153"/>
      <c r="C25" s="312"/>
      <c r="D25" s="153"/>
      <c r="F25" s="157"/>
      <c r="G25" s="312"/>
      <c r="H25" s="312"/>
      <c r="I25" s="312"/>
      <c r="J25" s="312"/>
      <c r="K25" s="311"/>
      <c r="L25" s="153"/>
    </row>
    <row r="26" spans="1:12" x14ac:dyDescent="0.2">
      <c r="A26" s="389" t="s">
        <v>1016</v>
      </c>
      <c r="B26" s="153"/>
      <c r="C26" s="312"/>
      <c r="D26" s="153"/>
      <c r="F26" s="157"/>
      <c r="G26" s="312"/>
      <c r="H26" s="312"/>
      <c r="I26" s="312"/>
      <c r="J26" s="312"/>
      <c r="K26" s="311"/>
      <c r="L26" s="153"/>
    </row>
    <row r="27" spans="1:12" x14ac:dyDescent="0.2">
      <c r="A27" s="389"/>
      <c r="B27" s="153"/>
      <c r="C27" s="312"/>
      <c r="D27" s="153"/>
      <c r="F27" s="157"/>
      <c r="G27" s="312"/>
      <c r="H27" s="312"/>
      <c r="I27" s="312"/>
      <c r="J27" s="312"/>
      <c r="K27" s="311"/>
      <c r="L27" s="153"/>
    </row>
    <row r="28" spans="1:12" x14ac:dyDescent="0.2">
      <c r="A28" s="389"/>
      <c r="B28" s="153"/>
      <c r="C28" s="312"/>
      <c r="D28" s="153"/>
      <c r="F28" s="157"/>
      <c r="G28" s="312"/>
      <c r="H28" s="312"/>
      <c r="I28" s="312"/>
      <c r="J28" s="312"/>
      <c r="K28" s="311"/>
      <c r="L28" s="153"/>
    </row>
    <row r="29" spans="1:12" x14ac:dyDescent="0.2">
      <c r="A29" s="312"/>
      <c r="B29" s="153"/>
      <c r="C29" s="312"/>
      <c r="D29" s="311" t="s">
        <v>13</v>
      </c>
      <c r="F29" s="157"/>
      <c r="G29" s="437" t="s">
        <v>96</v>
      </c>
      <c r="H29" s="437"/>
      <c r="I29" s="437"/>
      <c r="J29" s="437"/>
      <c r="K29" s="311"/>
      <c r="L29" s="153"/>
    </row>
    <row r="30" spans="1:12" x14ac:dyDescent="0.2">
      <c r="B30" s="173"/>
      <c r="C30" s="390"/>
      <c r="D30" s="313" t="s">
        <v>14</v>
      </c>
      <c r="E30" s="390"/>
      <c r="F30" s="176"/>
      <c r="G30" s="438" t="s">
        <v>18</v>
      </c>
      <c r="H30" s="438"/>
      <c r="I30" s="438"/>
      <c r="J30" s="438"/>
    </row>
    <row r="31" spans="1:12" x14ac:dyDescent="0.2">
      <c r="B31" s="173"/>
      <c r="C31" s="176"/>
      <c r="D31" s="311" t="s">
        <v>65</v>
      </c>
      <c r="E31" s="176"/>
      <c r="F31" s="176"/>
      <c r="G31" s="439" t="s">
        <v>20</v>
      </c>
      <c r="H31" s="439"/>
      <c r="I31" s="439"/>
      <c r="J31" s="439"/>
    </row>
    <row r="32" spans="1:12" x14ac:dyDescent="0.2">
      <c r="B32" s="173"/>
      <c r="C32" s="176"/>
      <c r="D32" s="311" t="s">
        <v>15</v>
      </c>
      <c r="E32" s="176"/>
      <c r="F32" s="176"/>
      <c r="G32" s="173"/>
      <c r="H32" s="439" t="s">
        <v>16</v>
      </c>
      <c r="I32" s="439"/>
      <c r="J32" s="176"/>
    </row>
  </sheetData>
  <mergeCells count="7">
    <mergeCell ref="H32:I32"/>
    <mergeCell ref="A1:L1"/>
    <mergeCell ref="A2:L2"/>
    <mergeCell ref="A24:L24"/>
    <mergeCell ref="G29:J29"/>
    <mergeCell ref="G30:J30"/>
    <mergeCell ref="G31:J31"/>
  </mergeCells>
  <pageMargins left="0.7" right="0.7" top="0.75" bottom="0.75" header="0.3" footer="0.3"/>
  <pageSetup paperSize="258" scale="75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01D75-4D1E-47E1-A28B-EE0D88C27ABA}">
  <sheetPr>
    <tabColor theme="6" tint="0.39997558519241921"/>
  </sheetPr>
  <dimension ref="A1:L279"/>
  <sheetViews>
    <sheetView workbookViewId="0">
      <selection activeCell="N44" sqref="N44"/>
    </sheetView>
  </sheetViews>
  <sheetFormatPr baseColWidth="10" defaultColWidth="14.42578125" defaultRowHeight="12.75" x14ac:dyDescent="0.2"/>
  <cols>
    <col min="1" max="1" width="5.42578125" style="321" customWidth="1"/>
    <col min="2" max="2" width="27.42578125" style="173" bestFit="1" customWidth="1"/>
    <col min="3" max="3" width="13.85546875" style="321" customWidth="1"/>
    <col min="4" max="4" width="36.140625" style="173" bestFit="1" customWidth="1"/>
    <col min="5" max="5" width="8.85546875" style="321" bestFit="1" customWidth="1"/>
    <col min="6" max="6" width="11.42578125" style="321" bestFit="1" customWidth="1"/>
    <col min="7" max="7" width="10" style="321" bestFit="1" customWidth="1"/>
    <col min="8" max="8" width="11.140625" style="321" bestFit="1" customWidth="1"/>
    <col min="9" max="9" width="11.28515625" style="321" bestFit="1" customWidth="1"/>
    <col min="10" max="10" width="11.5703125" style="321" bestFit="1" customWidth="1"/>
    <col min="11" max="11" width="11.85546875" style="321" bestFit="1" customWidth="1"/>
    <col min="12" max="12" width="51.7109375" style="321" customWidth="1"/>
    <col min="13" max="16384" width="14.42578125" style="321"/>
  </cols>
  <sheetData>
    <row r="1" spans="1:12" ht="21.75" customHeight="1" x14ac:dyDescent="0.2">
      <c r="A1" s="476" t="s">
        <v>746</v>
      </c>
      <c r="B1" s="476"/>
      <c r="C1" s="476"/>
      <c r="D1" s="476"/>
      <c r="E1" s="476"/>
      <c r="F1" s="476"/>
      <c r="G1" s="476"/>
      <c r="H1" s="476"/>
      <c r="I1" s="476"/>
      <c r="J1" s="476"/>
      <c r="K1" s="476"/>
      <c r="L1" s="476"/>
    </row>
    <row r="2" spans="1:12" ht="22.5" customHeight="1" x14ac:dyDescent="0.2">
      <c r="A2" s="476" t="s">
        <v>747</v>
      </c>
      <c r="B2" s="476"/>
      <c r="C2" s="476"/>
      <c r="D2" s="476"/>
      <c r="E2" s="476"/>
      <c r="F2" s="476"/>
      <c r="G2" s="476"/>
      <c r="H2" s="476"/>
      <c r="I2" s="476"/>
      <c r="J2" s="476"/>
      <c r="K2" s="476"/>
      <c r="L2" s="476"/>
    </row>
    <row r="3" spans="1:12" ht="38.25" x14ac:dyDescent="0.2">
      <c r="A3" s="335" t="s">
        <v>5</v>
      </c>
      <c r="B3" s="336" t="s">
        <v>32</v>
      </c>
      <c r="C3" s="336" t="s">
        <v>748</v>
      </c>
      <c r="D3" s="336" t="s">
        <v>749</v>
      </c>
      <c r="E3" s="336" t="s">
        <v>750</v>
      </c>
      <c r="F3" s="336" t="s">
        <v>751</v>
      </c>
      <c r="G3" s="336" t="s">
        <v>87</v>
      </c>
      <c r="H3" s="337" t="s">
        <v>752</v>
      </c>
      <c r="I3" s="338" t="s">
        <v>753</v>
      </c>
      <c r="J3" s="338" t="s">
        <v>754</v>
      </c>
      <c r="K3" s="339" t="s">
        <v>755</v>
      </c>
      <c r="L3" s="336" t="s">
        <v>30</v>
      </c>
    </row>
    <row r="4" spans="1:12" ht="38.25" x14ac:dyDescent="0.2">
      <c r="A4" s="340">
        <v>1</v>
      </c>
      <c r="B4" s="341" t="s">
        <v>522</v>
      </c>
      <c r="C4" s="146">
        <v>24606935</v>
      </c>
      <c r="D4" s="342" t="s">
        <v>176</v>
      </c>
      <c r="E4" s="343">
        <v>43864</v>
      </c>
      <c r="F4" s="344" t="s">
        <v>17</v>
      </c>
      <c r="G4" s="344" t="s">
        <v>62</v>
      </c>
      <c r="H4" s="345">
        <v>4.88</v>
      </c>
      <c r="I4" s="340" t="s">
        <v>756</v>
      </c>
      <c r="J4" s="346">
        <v>2</v>
      </c>
      <c r="K4" s="344" t="s">
        <v>757</v>
      </c>
      <c r="L4" s="342" t="s">
        <v>758</v>
      </c>
    </row>
    <row r="5" spans="1:12" x14ac:dyDescent="0.2">
      <c r="A5" s="319">
        <v>2</v>
      </c>
      <c r="B5" s="347" t="s">
        <v>522</v>
      </c>
      <c r="C5" s="348">
        <v>89007946</v>
      </c>
      <c r="D5" s="349" t="s">
        <v>178</v>
      </c>
      <c r="E5" s="350">
        <v>44963</v>
      </c>
      <c r="F5" s="320" t="s">
        <v>17</v>
      </c>
      <c r="G5" s="320" t="s">
        <v>22</v>
      </c>
      <c r="H5" s="319">
        <v>4.63</v>
      </c>
      <c r="I5" s="319" t="s">
        <v>759</v>
      </c>
      <c r="J5" s="319">
        <v>2</v>
      </c>
      <c r="K5" s="320" t="s">
        <v>757</v>
      </c>
      <c r="L5" s="351"/>
    </row>
    <row r="6" spans="1:12" ht="25.5" x14ac:dyDescent="0.2">
      <c r="A6" s="319">
        <v>3</v>
      </c>
      <c r="B6" s="347" t="s">
        <v>522</v>
      </c>
      <c r="C6" s="352">
        <v>24809412</v>
      </c>
      <c r="D6" s="351" t="s">
        <v>179</v>
      </c>
      <c r="E6" s="322">
        <v>42955</v>
      </c>
      <c r="F6" s="320" t="s">
        <v>21</v>
      </c>
      <c r="G6" s="320" t="s">
        <v>10</v>
      </c>
      <c r="H6" s="319">
        <v>4.78</v>
      </c>
      <c r="I6" s="319" t="s">
        <v>760</v>
      </c>
      <c r="J6" s="319">
        <v>2</v>
      </c>
      <c r="K6" s="320" t="s">
        <v>757</v>
      </c>
      <c r="L6" s="351" t="s">
        <v>761</v>
      </c>
    </row>
    <row r="7" spans="1:12" x14ac:dyDescent="0.2">
      <c r="A7" s="319">
        <v>4</v>
      </c>
      <c r="B7" s="347" t="s">
        <v>522</v>
      </c>
      <c r="C7" s="320">
        <v>41935384</v>
      </c>
      <c r="D7" s="351" t="s">
        <v>762</v>
      </c>
      <c r="E7" s="322">
        <v>41436</v>
      </c>
      <c r="F7" s="320" t="s">
        <v>17</v>
      </c>
      <c r="G7" s="320" t="s">
        <v>11</v>
      </c>
      <c r="H7" s="319">
        <v>4.8899999999999997</v>
      </c>
      <c r="I7" s="319" t="s">
        <v>763</v>
      </c>
      <c r="J7" s="319">
        <v>2</v>
      </c>
      <c r="K7" s="320" t="s">
        <v>757</v>
      </c>
      <c r="L7" s="351"/>
    </row>
    <row r="8" spans="1:12" x14ac:dyDescent="0.2">
      <c r="A8" s="319">
        <v>5</v>
      </c>
      <c r="B8" s="347" t="s">
        <v>522</v>
      </c>
      <c r="C8" s="353">
        <v>7558182</v>
      </c>
      <c r="D8" s="351" t="s">
        <v>182</v>
      </c>
      <c r="E8" s="322">
        <v>43864</v>
      </c>
      <c r="F8" s="320" t="s">
        <v>17</v>
      </c>
      <c r="G8" s="320" t="s">
        <v>22</v>
      </c>
      <c r="H8" s="319">
        <v>4.88</v>
      </c>
      <c r="I8" s="319" t="s">
        <v>764</v>
      </c>
      <c r="J8" s="319">
        <v>2</v>
      </c>
      <c r="K8" s="320" t="s">
        <v>757</v>
      </c>
      <c r="L8" s="351"/>
    </row>
    <row r="9" spans="1:12" x14ac:dyDescent="0.2">
      <c r="A9" s="319">
        <v>6</v>
      </c>
      <c r="B9" s="347" t="s">
        <v>522</v>
      </c>
      <c r="C9" s="319">
        <v>7557752</v>
      </c>
      <c r="D9" s="347" t="s">
        <v>765</v>
      </c>
      <c r="E9" s="350">
        <v>39664</v>
      </c>
      <c r="F9" s="319" t="s">
        <v>17</v>
      </c>
      <c r="G9" s="319" t="s">
        <v>10</v>
      </c>
      <c r="H9" s="319">
        <v>4.91</v>
      </c>
      <c r="I9" s="319" t="s">
        <v>760</v>
      </c>
      <c r="J9" s="319">
        <v>2</v>
      </c>
      <c r="K9" s="320" t="s">
        <v>757</v>
      </c>
      <c r="L9" s="351"/>
    </row>
    <row r="10" spans="1:12" x14ac:dyDescent="0.2">
      <c r="A10" s="319">
        <v>7</v>
      </c>
      <c r="B10" s="347" t="s">
        <v>522</v>
      </c>
      <c r="C10" s="348">
        <v>1094947500</v>
      </c>
      <c r="D10" s="349" t="s">
        <v>766</v>
      </c>
      <c r="E10" s="350">
        <v>44963</v>
      </c>
      <c r="F10" s="320" t="s">
        <v>21</v>
      </c>
      <c r="G10" s="320" t="s">
        <v>62</v>
      </c>
      <c r="H10" s="319">
        <v>4.88</v>
      </c>
      <c r="I10" s="319" t="s">
        <v>759</v>
      </c>
      <c r="J10" s="319">
        <v>2</v>
      </c>
      <c r="K10" s="320" t="s">
        <v>757</v>
      </c>
      <c r="L10" s="351"/>
    </row>
    <row r="11" spans="1:12" ht="25.5" x14ac:dyDescent="0.2">
      <c r="A11" s="354">
        <v>8</v>
      </c>
      <c r="B11" s="355" t="s">
        <v>523</v>
      </c>
      <c r="C11" s="354">
        <v>29332068</v>
      </c>
      <c r="D11" s="356" t="s">
        <v>767</v>
      </c>
      <c r="E11" s="357">
        <v>40203</v>
      </c>
      <c r="F11" s="354" t="s">
        <v>21</v>
      </c>
      <c r="G11" s="354" t="s">
        <v>11</v>
      </c>
      <c r="H11" s="354">
        <v>4.99</v>
      </c>
      <c r="I11" s="354" t="s">
        <v>760</v>
      </c>
      <c r="J11" s="354">
        <v>2</v>
      </c>
      <c r="K11" s="358" t="s">
        <v>768</v>
      </c>
      <c r="L11" s="355" t="s">
        <v>188</v>
      </c>
    </row>
    <row r="12" spans="1:12" x14ac:dyDescent="0.2">
      <c r="A12" s="319">
        <v>9</v>
      </c>
      <c r="B12" s="351" t="s">
        <v>523</v>
      </c>
      <c r="C12" s="319">
        <v>29226257</v>
      </c>
      <c r="D12" s="349" t="s">
        <v>189</v>
      </c>
      <c r="E12" s="350">
        <v>44963</v>
      </c>
      <c r="F12" s="320" t="s">
        <v>17</v>
      </c>
      <c r="G12" s="348" t="s">
        <v>22</v>
      </c>
      <c r="H12" s="359">
        <v>5</v>
      </c>
      <c r="I12" s="319" t="s">
        <v>760</v>
      </c>
      <c r="J12" s="319">
        <v>2</v>
      </c>
      <c r="K12" s="320" t="s">
        <v>757</v>
      </c>
      <c r="L12" s="351"/>
    </row>
    <row r="13" spans="1:12" x14ac:dyDescent="0.2">
      <c r="A13" s="319">
        <v>10</v>
      </c>
      <c r="B13" s="351" t="s">
        <v>523</v>
      </c>
      <c r="C13" s="320">
        <v>7554040</v>
      </c>
      <c r="D13" s="351" t="s">
        <v>769</v>
      </c>
      <c r="E13" s="322">
        <v>39660</v>
      </c>
      <c r="F13" s="320" t="s">
        <v>17</v>
      </c>
      <c r="G13" s="319" t="s">
        <v>11</v>
      </c>
      <c r="H13" s="319">
        <v>4.83</v>
      </c>
      <c r="I13" s="319" t="s">
        <v>760</v>
      </c>
      <c r="J13" s="319">
        <v>2</v>
      </c>
      <c r="K13" s="320" t="s">
        <v>757</v>
      </c>
      <c r="L13" s="351"/>
    </row>
    <row r="14" spans="1:12" x14ac:dyDescent="0.2">
      <c r="A14" s="319">
        <v>11</v>
      </c>
      <c r="B14" s="351" t="s">
        <v>523</v>
      </c>
      <c r="C14" s="348">
        <v>41916725</v>
      </c>
      <c r="D14" s="349" t="s">
        <v>770</v>
      </c>
      <c r="E14" s="350">
        <v>44963</v>
      </c>
      <c r="F14" s="320" t="s">
        <v>17</v>
      </c>
      <c r="G14" s="319" t="s">
        <v>62</v>
      </c>
      <c r="H14" s="359">
        <v>4.95</v>
      </c>
      <c r="I14" s="319" t="s">
        <v>759</v>
      </c>
      <c r="J14" s="319">
        <v>2</v>
      </c>
      <c r="K14" s="320" t="s">
        <v>757</v>
      </c>
      <c r="L14" s="351"/>
    </row>
    <row r="15" spans="1:12" x14ac:dyDescent="0.2">
      <c r="A15" s="319">
        <v>12</v>
      </c>
      <c r="B15" s="347" t="s">
        <v>193</v>
      </c>
      <c r="C15" s="319">
        <v>7551802</v>
      </c>
      <c r="D15" s="347" t="s">
        <v>771</v>
      </c>
      <c r="E15" s="350">
        <v>43951</v>
      </c>
      <c r="F15" s="319" t="s">
        <v>21</v>
      </c>
      <c r="G15" s="319" t="s">
        <v>22</v>
      </c>
      <c r="H15" s="319">
        <v>4.62</v>
      </c>
      <c r="I15" s="319" t="s">
        <v>772</v>
      </c>
      <c r="J15" s="319">
        <v>2</v>
      </c>
      <c r="K15" s="320" t="s">
        <v>757</v>
      </c>
      <c r="L15" s="351"/>
    </row>
    <row r="16" spans="1:12" x14ac:dyDescent="0.2">
      <c r="A16" s="319">
        <v>13</v>
      </c>
      <c r="B16" s="347" t="s">
        <v>193</v>
      </c>
      <c r="C16" s="319">
        <v>41914131</v>
      </c>
      <c r="D16" s="347" t="s">
        <v>773</v>
      </c>
      <c r="E16" s="350">
        <v>41872</v>
      </c>
      <c r="F16" s="319" t="s">
        <v>17</v>
      </c>
      <c r="G16" s="319" t="s">
        <v>62</v>
      </c>
      <c r="H16" s="319">
        <v>4.8899999999999997</v>
      </c>
      <c r="I16" s="319" t="s">
        <v>772</v>
      </c>
      <c r="J16" s="319">
        <v>2</v>
      </c>
      <c r="K16" s="320" t="s">
        <v>757</v>
      </c>
      <c r="L16" s="351"/>
    </row>
    <row r="17" spans="1:12" x14ac:dyDescent="0.2">
      <c r="A17" s="319">
        <v>14</v>
      </c>
      <c r="B17" s="347" t="s">
        <v>193</v>
      </c>
      <c r="C17" s="348">
        <v>9727322</v>
      </c>
      <c r="D17" s="349" t="s">
        <v>774</v>
      </c>
      <c r="E17" s="360">
        <v>44963</v>
      </c>
      <c r="F17" s="348" t="s">
        <v>17</v>
      </c>
      <c r="G17" s="319" t="s">
        <v>62</v>
      </c>
      <c r="H17" s="359">
        <v>4.2</v>
      </c>
      <c r="I17" s="319" t="s">
        <v>775</v>
      </c>
      <c r="J17" s="319">
        <v>1.6</v>
      </c>
      <c r="K17" s="320" t="s">
        <v>757</v>
      </c>
      <c r="L17" s="351"/>
    </row>
    <row r="18" spans="1:12" x14ac:dyDescent="0.2">
      <c r="A18" s="319">
        <v>15</v>
      </c>
      <c r="B18" s="347" t="s">
        <v>73</v>
      </c>
      <c r="C18" s="348">
        <v>94287028</v>
      </c>
      <c r="D18" s="349" t="s">
        <v>197</v>
      </c>
      <c r="E18" s="360">
        <v>44967</v>
      </c>
      <c r="F18" s="348" t="s">
        <v>21</v>
      </c>
      <c r="G18" s="319" t="s">
        <v>22</v>
      </c>
      <c r="H18" s="361">
        <v>4.83</v>
      </c>
      <c r="I18" s="319" t="s">
        <v>759</v>
      </c>
      <c r="J18" s="319">
        <v>2</v>
      </c>
      <c r="K18" s="320" t="s">
        <v>757</v>
      </c>
      <c r="L18" s="351"/>
    </row>
    <row r="19" spans="1:12" x14ac:dyDescent="0.2">
      <c r="A19" s="319">
        <v>16</v>
      </c>
      <c r="B19" s="347" t="s">
        <v>73</v>
      </c>
      <c r="C19" s="353">
        <v>9732828</v>
      </c>
      <c r="D19" s="351" t="s">
        <v>776</v>
      </c>
      <c r="E19" s="322">
        <v>43878</v>
      </c>
      <c r="F19" s="319" t="s">
        <v>21</v>
      </c>
      <c r="G19" s="319" t="s">
        <v>10</v>
      </c>
      <c r="H19" s="319">
        <v>4.5599999999999996</v>
      </c>
      <c r="I19" s="319" t="s">
        <v>759</v>
      </c>
      <c r="J19" s="319">
        <v>2</v>
      </c>
      <c r="K19" s="320" t="s">
        <v>757</v>
      </c>
      <c r="L19" s="351"/>
    </row>
    <row r="20" spans="1:12" x14ac:dyDescent="0.2">
      <c r="A20" s="319">
        <v>17</v>
      </c>
      <c r="B20" s="347" t="s">
        <v>73</v>
      </c>
      <c r="C20" s="319">
        <v>66920157</v>
      </c>
      <c r="D20" s="347" t="s">
        <v>777</v>
      </c>
      <c r="E20" s="350">
        <v>39660</v>
      </c>
      <c r="F20" s="319" t="s">
        <v>21</v>
      </c>
      <c r="G20" s="319" t="s">
        <v>10</v>
      </c>
      <c r="H20" s="319">
        <v>4.84</v>
      </c>
      <c r="I20" s="319" t="s">
        <v>760</v>
      </c>
      <c r="J20" s="319">
        <v>2</v>
      </c>
      <c r="K20" s="320" t="s">
        <v>757</v>
      </c>
      <c r="L20" s="351"/>
    </row>
    <row r="21" spans="1:12" x14ac:dyDescent="0.2">
      <c r="A21" s="319">
        <v>18</v>
      </c>
      <c r="B21" s="347" t="s">
        <v>73</v>
      </c>
      <c r="C21" s="319">
        <v>89006379</v>
      </c>
      <c r="D21" s="347" t="s">
        <v>778</v>
      </c>
      <c r="E21" s="350">
        <v>38027</v>
      </c>
      <c r="F21" s="319" t="s">
        <v>21</v>
      </c>
      <c r="G21" s="319" t="s">
        <v>11</v>
      </c>
      <c r="H21" s="361">
        <v>4.55</v>
      </c>
      <c r="I21" s="319" t="s">
        <v>763</v>
      </c>
      <c r="J21" s="319">
        <v>2</v>
      </c>
      <c r="K21" s="320" t="s">
        <v>757</v>
      </c>
      <c r="L21" s="351"/>
    </row>
    <row r="22" spans="1:12" ht="25.5" x14ac:dyDescent="0.2">
      <c r="A22" s="354">
        <v>19</v>
      </c>
      <c r="B22" s="355" t="s">
        <v>73</v>
      </c>
      <c r="C22" s="354">
        <v>24675452</v>
      </c>
      <c r="D22" s="356" t="s">
        <v>779</v>
      </c>
      <c r="E22" s="362">
        <v>42955</v>
      </c>
      <c r="F22" s="354" t="s">
        <v>17</v>
      </c>
      <c r="G22" s="354" t="s">
        <v>22</v>
      </c>
      <c r="H22" s="363">
        <v>5</v>
      </c>
      <c r="I22" s="354" t="s">
        <v>760</v>
      </c>
      <c r="J22" s="354">
        <v>2</v>
      </c>
      <c r="K22" s="358" t="s">
        <v>768</v>
      </c>
      <c r="L22" s="355" t="s">
        <v>780</v>
      </c>
    </row>
    <row r="23" spans="1:12" x14ac:dyDescent="0.2">
      <c r="A23" s="319">
        <v>20</v>
      </c>
      <c r="B23" s="347" t="s">
        <v>73</v>
      </c>
      <c r="C23" s="348">
        <v>89006235</v>
      </c>
      <c r="D23" s="349" t="s">
        <v>781</v>
      </c>
      <c r="E23" s="360">
        <v>45028</v>
      </c>
      <c r="F23" s="348" t="s">
        <v>17</v>
      </c>
      <c r="G23" s="319" t="s">
        <v>22</v>
      </c>
      <c r="H23" s="361">
        <v>4.8899999999999997</v>
      </c>
      <c r="I23" s="319" t="s">
        <v>763</v>
      </c>
      <c r="J23" s="319">
        <v>2</v>
      </c>
      <c r="K23" s="320" t="s">
        <v>757</v>
      </c>
      <c r="L23" s="351"/>
    </row>
    <row r="24" spans="1:12" x14ac:dyDescent="0.2">
      <c r="A24" s="319">
        <v>21</v>
      </c>
      <c r="B24" s="347" t="s">
        <v>73</v>
      </c>
      <c r="C24" s="319">
        <v>66736378</v>
      </c>
      <c r="D24" s="347" t="s">
        <v>207</v>
      </c>
      <c r="E24" s="350">
        <v>39142</v>
      </c>
      <c r="F24" s="319" t="s">
        <v>21</v>
      </c>
      <c r="G24" s="319" t="s">
        <v>11</v>
      </c>
      <c r="H24" s="359">
        <v>4.7</v>
      </c>
      <c r="I24" s="319" t="s">
        <v>764</v>
      </c>
      <c r="J24" s="319">
        <v>2</v>
      </c>
      <c r="K24" s="320" t="s">
        <v>757</v>
      </c>
      <c r="L24" s="351"/>
    </row>
    <row r="25" spans="1:12" x14ac:dyDescent="0.2">
      <c r="A25" s="319">
        <v>22</v>
      </c>
      <c r="B25" s="347" t="s">
        <v>73</v>
      </c>
      <c r="C25" s="353">
        <v>41935619</v>
      </c>
      <c r="D25" s="347" t="s">
        <v>782</v>
      </c>
      <c r="E25" s="322">
        <v>42955</v>
      </c>
      <c r="F25" s="319" t="s">
        <v>21</v>
      </c>
      <c r="G25" s="319" t="s">
        <v>22</v>
      </c>
      <c r="H25" s="319">
        <v>4.8499999999999996</v>
      </c>
      <c r="I25" s="319" t="s">
        <v>772</v>
      </c>
      <c r="J25" s="319">
        <v>2</v>
      </c>
      <c r="K25" s="320" t="s">
        <v>757</v>
      </c>
      <c r="L25" s="351"/>
    </row>
    <row r="26" spans="1:12" x14ac:dyDescent="0.2">
      <c r="A26" s="319">
        <v>23</v>
      </c>
      <c r="B26" s="347" t="s">
        <v>73</v>
      </c>
      <c r="C26" s="319">
        <v>79400867</v>
      </c>
      <c r="D26" s="347" t="s">
        <v>209</v>
      </c>
      <c r="E26" s="350">
        <v>41436</v>
      </c>
      <c r="F26" s="319" t="s">
        <v>21</v>
      </c>
      <c r="G26" s="319" t="s">
        <v>22</v>
      </c>
      <c r="H26" s="319">
        <v>4.8899999999999997</v>
      </c>
      <c r="I26" s="319" t="s">
        <v>760</v>
      </c>
      <c r="J26" s="319">
        <v>2</v>
      </c>
      <c r="K26" s="320" t="s">
        <v>757</v>
      </c>
      <c r="L26" s="351"/>
    </row>
    <row r="27" spans="1:12" x14ac:dyDescent="0.2">
      <c r="A27" s="319">
        <v>24</v>
      </c>
      <c r="B27" s="347" t="s">
        <v>73</v>
      </c>
      <c r="C27" s="319">
        <v>7535130</v>
      </c>
      <c r="D27" s="347" t="s">
        <v>783</v>
      </c>
      <c r="E27" s="350">
        <v>34178</v>
      </c>
      <c r="F27" s="319" t="s">
        <v>21</v>
      </c>
      <c r="G27" s="319" t="s">
        <v>11</v>
      </c>
      <c r="H27" s="319">
        <v>3.65</v>
      </c>
      <c r="I27" s="319" t="s">
        <v>775</v>
      </c>
      <c r="J27" s="319">
        <v>1.2</v>
      </c>
      <c r="K27" s="320" t="s">
        <v>757</v>
      </c>
      <c r="L27" s="351"/>
    </row>
    <row r="28" spans="1:12" x14ac:dyDescent="0.2">
      <c r="A28" s="319">
        <v>25</v>
      </c>
      <c r="B28" s="347" t="s">
        <v>73</v>
      </c>
      <c r="C28" s="319">
        <v>41922237</v>
      </c>
      <c r="D28" s="347" t="s">
        <v>784</v>
      </c>
      <c r="E28" s="350">
        <v>40203</v>
      </c>
      <c r="F28" s="319" t="s">
        <v>17</v>
      </c>
      <c r="G28" s="319" t="s">
        <v>10</v>
      </c>
      <c r="H28" s="319">
        <v>4.8099999999999996</v>
      </c>
      <c r="I28" s="319" t="s">
        <v>764</v>
      </c>
      <c r="J28" s="319">
        <v>2</v>
      </c>
      <c r="K28" s="320" t="s">
        <v>757</v>
      </c>
      <c r="L28" s="351"/>
    </row>
    <row r="29" spans="1:12" x14ac:dyDescent="0.2">
      <c r="A29" s="319">
        <v>26</v>
      </c>
      <c r="B29" s="347" t="s">
        <v>73</v>
      </c>
      <c r="C29" s="353">
        <v>25283616</v>
      </c>
      <c r="D29" s="351" t="s">
        <v>213</v>
      </c>
      <c r="E29" s="322">
        <v>43864</v>
      </c>
      <c r="F29" s="319" t="s">
        <v>21</v>
      </c>
      <c r="G29" s="319" t="s">
        <v>10</v>
      </c>
      <c r="H29" s="319">
        <v>4.91</v>
      </c>
      <c r="I29" s="319" t="s">
        <v>760</v>
      </c>
      <c r="J29" s="319">
        <v>2</v>
      </c>
      <c r="K29" s="320" t="s">
        <v>757</v>
      </c>
      <c r="L29" s="351"/>
    </row>
    <row r="30" spans="1:12" x14ac:dyDescent="0.2">
      <c r="A30" s="319">
        <v>27</v>
      </c>
      <c r="B30" s="347" t="s">
        <v>73</v>
      </c>
      <c r="C30" s="319">
        <v>94378416</v>
      </c>
      <c r="D30" s="347" t="s">
        <v>214</v>
      </c>
      <c r="E30" s="350">
        <v>41436</v>
      </c>
      <c r="F30" s="319" t="s">
        <v>21</v>
      </c>
      <c r="G30" s="319" t="s">
        <v>11</v>
      </c>
      <c r="H30" s="319">
        <v>4.92</v>
      </c>
      <c r="I30" s="319" t="s">
        <v>775</v>
      </c>
      <c r="J30" s="319">
        <v>2</v>
      </c>
      <c r="K30" s="320" t="s">
        <v>757</v>
      </c>
      <c r="L30" s="351"/>
    </row>
    <row r="31" spans="1:12" ht="38.25" x14ac:dyDescent="0.2">
      <c r="A31" s="319">
        <v>28</v>
      </c>
      <c r="B31" s="351" t="s">
        <v>785</v>
      </c>
      <c r="C31" s="319">
        <v>41942253</v>
      </c>
      <c r="D31" s="347" t="s">
        <v>786</v>
      </c>
      <c r="E31" s="322">
        <v>41872</v>
      </c>
      <c r="F31" s="319" t="s">
        <v>21</v>
      </c>
      <c r="G31" s="319" t="s">
        <v>11</v>
      </c>
      <c r="H31" s="361">
        <v>4.9400000000000004</v>
      </c>
      <c r="I31" s="361" t="s">
        <v>759</v>
      </c>
      <c r="J31" s="319">
        <v>2</v>
      </c>
      <c r="K31" s="320" t="s">
        <v>757</v>
      </c>
      <c r="L31" s="351"/>
    </row>
    <row r="32" spans="1:12" ht="38.25" x14ac:dyDescent="0.2">
      <c r="A32" s="319">
        <v>29</v>
      </c>
      <c r="B32" s="351" t="s">
        <v>785</v>
      </c>
      <c r="C32" s="364">
        <v>1094878677</v>
      </c>
      <c r="D32" s="349" t="s">
        <v>216</v>
      </c>
      <c r="E32" s="360">
        <v>45091</v>
      </c>
      <c r="F32" s="348" t="s">
        <v>17</v>
      </c>
      <c r="G32" s="319" t="s">
        <v>22</v>
      </c>
      <c r="H32" s="361">
        <v>4.95</v>
      </c>
      <c r="I32" s="319" t="s">
        <v>763</v>
      </c>
      <c r="J32" s="319">
        <v>2</v>
      </c>
      <c r="K32" s="320" t="s">
        <v>757</v>
      </c>
      <c r="L32" s="351"/>
    </row>
    <row r="33" spans="1:12" ht="38.25" x14ac:dyDescent="0.2">
      <c r="A33" s="319">
        <v>30</v>
      </c>
      <c r="B33" s="351" t="s">
        <v>785</v>
      </c>
      <c r="C33" s="364">
        <v>41955076</v>
      </c>
      <c r="D33" s="349" t="s">
        <v>787</v>
      </c>
      <c r="E33" s="360">
        <v>45078</v>
      </c>
      <c r="F33" s="348" t="s">
        <v>17</v>
      </c>
      <c r="G33" s="319" t="s">
        <v>62</v>
      </c>
      <c r="H33" s="361">
        <v>4.9400000000000004</v>
      </c>
      <c r="I33" s="319" t="s">
        <v>763</v>
      </c>
      <c r="J33" s="319">
        <v>2</v>
      </c>
      <c r="K33" s="320" t="s">
        <v>757</v>
      </c>
      <c r="L33" s="351"/>
    </row>
    <row r="34" spans="1:12" x14ac:dyDescent="0.2">
      <c r="A34" s="319">
        <v>31</v>
      </c>
      <c r="B34" s="351" t="s">
        <v>219</v>
      </c>
      <c r="C34" s="319">
        <v>75064983</v>
      </c>
      <c r="D34" s="347" t="s">
        <v>788</v>
      </c>
      <c r="E34" s="350">
        <v>40392</v>
      </c>
      <c r="F34" s="319" t="s">
        <v>21</v>
      </c>
      <c r="G34" s="319" t="s">
        <v>11</v>
      </c>
      <c r="H34" s="319">
        <v>4.84</v>
      </c>
      <c r="I34" s="319" t="s">
        <v>760</v>
      </c>
      <c r="J34" s="319">
        <v>2</v>
      </c>
      <c r="K34" s="320" t="s">
        <v>757</v>
      </c>
      <c r="L34" s="347"/>
    </row>
    <row r="35" spans="1:12" x14ac:dyDescent="0.2">
      <c r="A35" s="365">
        <v>32</v>
      </c>
      <c r="B35" s="366" t="s">
        <v>219</v>
      </c>
      <c r="C35" s="365">
        <v>25156982</v>
      </c>
      <c r="D35" s="367" t="s">
        <v>789</v>
      </c>
      <c r="E35" s="368">
        <v>39664</v>
      </c>
      <c r="F35" s="365" t="s">
        <v>17</v>
      </c>
      <c r="G35" s="365" t="s">
        <v>11</v>
      </c>
      <c r="H35" s="365">
        <v>4.8499999999999996</v>
      </c>
      <c r="I35" s="365" t="s">
        <v>790</v>
      </c>
      <c r="J35" s="365">
        <v>2</v>
      </c>
      <c r="K35" s="369" t="s">
        <v>757</v>
      </c>
      <c r="L35" s="366" t="s">
        <v>791</v>
      </c>
    </row>
    <row r="36" spans="1:12" x14ac:dyDescent="0.2">
      <c r="A36" s="319">
        <v>33</v>
      </c>
      <c r="B36" s="351" t="s">
        <v>219</v>
      </c>
      <c r="C36" s="319">
        <v>70081587</v>
      </c>
      <c r="D36" s="347" t="s">
        <v>792</v>
      </c>
      <c r="E36" s="350">
        <v>34171</v>
      </c>
      <c r="F36" s="319" t="s">
        <v>21</v>
      </c>
      <c r="G36" s="319" t="s">
        <v>11</v>
      </c>
      <c r="H36" s="359">
        <v>3.9</v>
      </c>
      <c r="I36" s="319" t="s">
        <v>764</v>
      </c>
      <c r="J36" s="319">
        <v>1.6</v>
      </c>
      <c r="K36" s="320" t="s">
        <v>757</v>
      </c>
      <c r="L36" s="351"/>
    </row>
    <row r="37" spans="1:12" x14ac:dyDescent="0.2">
      <c r="A37" s="319">
        <v>34</v>
      </c>
      <c r="B37" s="351" t="s">
        <v>219</v>
      </c>
      <c r="C37" s="320">
        <v>52070041</v>
      </c>
      <c r="D37" s="351" t="s">
        <v>793</v>
      </c>
      <c r="E37" s="322">
        <v>38803</v>
      </c>
      <c r="F37" s="320" t="s">
        <v>21</v>
      </c>
      <c r="G37" s="320" t="s">
        <v>11</v>
      </c>
      <c r="H37" s="320">
        <v>4.5999999999999996</v>
      </c>
      <c r="I37" s="320" t="s">
        <v>790</v>
      </c>
      <c r="J37" s="319">
        <v>2</v>
      </c>
      <c r="K37" s="320" t="s">
        <v>757</v>
      </c>
      <c r="L37" s="351"/>
    </row>
    <row r="38" spans="1:12" x14ac:dyDescent="0.2">
      <c r="A38" s="319">
        <v>35</v>
      </c>
      <c r="B38" s="351" t="s">
        <v>219</v>
      </c>
      <c r="C38" s="353">
        <v>93357542</v>
      </c>
      <c r="D38" s="370" t="s">
        <v>794</v>
      </c>
      <c r="E38" s="350">
        <v>41673</v>
      </c>
      <c r="F38" s="319" t="s">
        <v>21</v>
      </c>
      <c r="G38" s="319" t="s">
        <v>11</v>
      </c>
      <c r="H38" s="319">
        <v>4.01</v>
      </c>
      <c r="I38" s="319" t="s">
        <v>795</v>
      </c>
      <c r="J38" s="319">
        <v>1.6</v>
      </c>
      <c r="K38" s="320" t="s">
        <v>757</v>
      </c>
      <c r="L38" s="351"/>
    </row>
    <row r="39" spans="1:12" x14ac:dyDescent="0.2">
      <c r="A39" s="319">
        <v>36</v>
      </c>
      <c r="B39" s="351" t="s">
        <v>219</v>
      </c>
      <c r="C39" s="353">
        <v>25213746</v>
      </c>
      <c r="D39" s="370" t="s">
        <v>796</v>
      </c>
      <c r="E39" s="322">
        <v>42955</v>
      </c>
      <c r="F39" s="319" t="s">
        <v>21</v>
      </c>
      <c r="G39" s="319" t="s">
        <v>10</v>
      </c>
      <c r="H39" s="359">
        <v>4.9000000000000004</v>
      </c>
      <c r="I39" s="319" t="s">
        <v>797</v>
      </c>
      <c r="J39" s="319">
        <v>2</v>
      </c>
      <c r="K39" s="320" t="s">
        <v>757</v>
      </c>
      <c r="L39" s="351"/>
    </row>
    <row r="40" spans="1:12" x14ac:dyDescent="0.2">
      <c r="A40" s="319">
        <v>37</v>
      </c>
      <c r="B40" s="351" t="s">
        <v>219</v>
      </c>
      <c r="C40" s="348">
        <v>89004182</v>
      </c>
      <c r="D40" s="349" t="s">
        <v>798</v>
      </c>
      <c r="E40" s="360">
        <v>44963</v>
      </c>
      <c r="F40" s="348" t="s">
        <v>21</v>
      </c>
      <c r="G40" s="319" t="s">
        <v>22</v>
      </c>
      <c r="H40" s="361">
        <v>4.92</v>
      </c>
      <c r="I40" s="319" t="s">
        <v>759</v>
      </c>
      <c r="J40" s="319">
        <v>2</v>
      </c>
      <c r="K40" s="320" t="s">
        <v>757</v>
      </c>
      <c r="L40" s="351"/>
    </row>
    <row r="41" spans="1:12" x14ac:dyDescent="0.2">
      <c r="A41" s="319">
        <v>38</v>
      </c>
      <c r="B41" s="351" t="s">
        <v>219</v>
      </c>
      <c r="C41" s="319">
        <v>89009806</v>
      </c>
      <c r="D41" s="347" t="s">
        <v>799</v>
      </c>
      <c r="E41" s="350">
        <v>40392</v>
      </c>
      <c r="F41" s="319" t="s">
        <v>17</v>
      </c>
      <c r="G41" s="319" t="s">
        <v>22</v>
      </c>
      <c r="H41" s="319">
        <v>4.8099999999999996</v>
      </c>
      <c r="I41" s="319" t="s">
        <v>760</v>
      </c>
      <c r="J41" s="319">
        <v>2</v>
      </c>
      <c r="K41" s="320" t="s">
        <v>757</v>
      </c>
      <c r="L41" s="351"/>
    </row>
    <row r="42" spans="1:12" x14ac:dyDescent="0.2">
      <c r="A42" s="319">
        <v>39</v>
      </c>
      <c r="B42" s="347" t="s">
        <v>67</v>
      </c>
      <c r="C42" s="319">
        <v>41913187</v>
      </c>
      <c r="D42" s="347" t="s">
        <v>800</v>
      </c>
      <c r="E42" s="322">
        <v>42955</v>
      </c>
      <c r="F42" s="319" t="s">
        <v>17</v>
      </c>
      <c r="G42" s="319" t="s">
        <v>10</v>
      </c>
      <c r="H42" s="319">
        <v>4.91</v>
      </c>
      <c r="I42" s="319" t="s">
        <v>763</v>
      </c>
      <c r="J42" s="319">
        <v>2</v>
      </c>
      <c r="K42" s="320" t="s">
        <v>757</v>
      </c>
      <c r="L42" s="351"/>
    </row>
    <row r="43" spans="1:12" x14ac:dyDescent="0.2">
      <c r="A43" s="319">
        <v>40</v>
      </c>
      <c r="B43" s="347" t="s">
        <v>67</v>
      </c>
      <c r="C43" s="319">
        <v>7542144</v>
      </c>
      <c r="D43" s="347" t="s">
        <v>801</v>
      </c>
      <c r="E43" s="350">
        <v>38055</v>
      </c>
      <c r="F43" s="319" t="s">
        <v>17</v>
      </c>
      <c r="G43" s="319" t="s">
        <v>10</v>
      </c>
      <c r="H43" s="359">
        <v>4.9000000000000004</v>
      </c>
      <c r="I43" s="320" t="s">
        <v>760</v>
      </c>
      <c r="J43" s="319">
        <v>2</v>
      </c>
      <c r="K43" s="320" t="s">
        <v>757</v>
      </c>
      <c r="L43" s="351"/>
    </row>
    <row r="44" spans="1:12" x14ac:dyDescent="0.2">
      <c r="A44" s="319">
        <v>41</v>
      </c>
      <c r="B44" s="347" t="s">
        <v>67</v>
      </c>
      <c r="C44" s="319">
        <v>41943016</v>
      </c>
      <c r="D44" s="347" t="s">
        <v>802</v>
      </c>
      <c r="E44" s="350">
        <v>39329</v>
      </c>
      <c r="F44" s="319" t="s">
        <v>21</v>
      </c>
      <c r="G44" s="319" t="s">
        <v>22</v>
      </c>
      <c r="H44" s="319">
        <v>4.67</v>
      </c>
      <c r="I44" s="319" t="s">
        <v>772</v>
      </c>
      <c r="J44" s="319">
        <v>2</v>
      </c>
      <c r="K44" s="320" t="s">
        <v>757</v>
      </c>
      <c r="L44" s="351"/>
    </row>
    <row r="45" spans="1:12" x14ac:dyDescent="0.2">
      <c r="A45" s="319">
        <v>42</v>
      </c>
      <c r="B45" s="347" t="s">
        <v>67</v>
      </c>
      <c r="C45" s="353">
        <v>18390106</v>
      </c>
      <c r="D45" s="351" t="s">
        <v>230</v>
      </c>
      <c r="E45" s="322">
        <v>43864</v>
      </c>
      <c r="F45" s="319" t="s">
        <v>17</v>
      </c>
      <c r="G45" s="319" t="s">
        <v>10</v>
      </c>
      <c r="H45" s="359">
        <v>4.82</v>
      </c>
      <c r="I45" s="320" t="s">
        <v>760</v>
      </c>
      <c r="J45" s="319">
        <v>2</v>
      </c>
      <c r="K45" s="320" t="s">
        <v>757</v>
      </c>
      <c r="L45" s="351"/>
    </row>
    <row r="46" spans="1:12" x14ac:dyDescent="0.2">
      <c r="A46" s="319">
        <v>43</v>
      </c>
      <c r="B46" s="347" t="s">
        <v>67</v>
      </c>
      <c r="C46" s="353">
        <v>24580502</v>
      </c>
      <c r="D46" s="347" t="s">
        <v>803</v>
      </c>
      <c r="E46" s="322">
        <v>42955</v>
      </c>
      <c r="F46" s="319" t="s">
        <v>17</v>
      </c>
      <c r="G46" s="319" t="s">
        <v>11</v>
      </c>
      <c r="H46" s="319">
        <v>4.79</v>
      </c>
      <c r="I46" s="319" t="s">
        <v>772</v>
      </c>
      <c r="J46" s="319">
        <v>2</v>
      </c>
      <c r="K46" s="320" t="s">
        <v>757</v>
      </c>
      <c r="L46" s="351"/>
    </row>
    <row r="47" spans="1:12" x14ac:dyDescent="0.2">
      <c r="A47" s="319">
        <v>44</v>
      </c>
      <c r="B47" s="347" t="s">
        <v>67</v>
      </c>
      <c r="C47" s="319">
        <v>24580998</v>
      </c>
      <c r="D47" s="347" t="s">
        <v>804</v>
      </c>
      <c r="E47" s="350">
        <v>39660</v>
      </c>
      <c r="F47" s="319" t="s">
        <v>17</v>
      </c>
      <c r="G47" s="319" t="s">
        <v>10</v>
      </c>
      <c r="H47" s="359">
        <v>4.9400000000000004</v>
      </c>
      <c r="I47" s="320" t="s">
        <v>760</v>
      </c>
      <c r="J47" s="319">
        <v>2</v>
      </c>
      <c r="K47" s="320" t="s">
        <v>757</v>
      </c>
      <c r="L47" s="351"/>
    </row>
    <row r="48" spans="1:12" x14ac:dyDescent="0.2">
      <c r="A48" s="319">
        <v>45</v>
      </c>
      <c r="B48" s="347" t="s">
        <v>67</v>
      </c>
      <c r="C48" s="319">
        <v>7528464</v>
      </c>
      <c r="D48" s="347" t="s">
        <v>805</v>
      </c>
      <c r="E48" s="350">
        <v>34974</v>
      </c>
      <c r="F48" s="319" t="s">
        <v>17</v>
      </c>
      <c r="G48" s="319" t="s">
        <v>10</v>
      </c>
      <c r="H48" s="319">
        <v>4.62</v>
      </c>
      <c r="I48" s="319" t="s">
        <v>772</v>
      </c>
      <c r="J48" s="319">
        <v>2</v>
      </c>
      <c r="K48" s="320" t="s">
        <v>757</v>
      </c>
      <c r="L48" s="351"/>
    </row>
    <row r="49" spans="1:12" x14ac:dyDescent="0.2">
      <c r="A49" s="319">
        <v>46</v>
      </c>
      <c r="B49" s="347" t="s">
        <v>67</v>
      </c>
      <c r="C49" s="319">
        <v>24573858</v>
      </c>
      <c r="D49" s="347" t="s">
        <v>806</v>
      </c>
      <c r="E49" s="350">
        <v>34375</v>
      </c>
      <c r="F49" s="319" t="s">
        <v>17</v>
      </c>
      <c r="G49" s="319" t="s">
        <v>11</v>
      </c>
      <c r="H49" s="319">
        <v>4.7699999999999996</v>
      </c>
      <c r="I49" s="319" t="s">
        <v>772</v>
      </c>
      <c r="J49" s="319">
        <v>2</v>
      </c>
      <c r="K49" s="320" t="s">
        <v>757</v>
      </c>
      <c r="L49" s="351"/>
    </row>
    <row r="50" spans="1:12" ht="25.5" x14ac:dyDescent="0.2">
      <c r="A50" s="319">
        <v>47</v>
      </c>
      <c r="B50" s="347" t="s">
        <v>67</v>
      </c>
      <c r="C50" s="353">
        <v>29327038</v>
      </c>
      <c r="D50" s="347" t="s">
        <v>807</v>
      </c>
      <c r="E50" s="322">
        <v>42955</v>
      </c>
      <c r="F50" s="319" t="s">
        <v>17</v>
      </c>
      <c r="G50" s="319" t="s">
        <v>10</v>
      </c>
      <c r="H50" s="359">
        <v>4.75</v>
      </c>
      <c r="I50" s="320" t="s">
        <v>760</v>
      </c>
      <c r="J50" s="319">
        <v>2</v>
      </c>
      <c r="K50" s="320" t="s">
        <v>757</v>
      </c>
      <c r="L50" s="351" t="s">
        <v>808</v>
      </c>
    </row>
    <row r="51" spans="1:12" x14ac:dyDescent="0.2">
      <c r="A51" s="319">
        <v>48</v>
      </c>
      <c r="B51" s="347" t="s">
        <v>67</v>
      </c>
      <c r="C51" s="319">
        <v>41935858</v>
      </c>
      <c r="D51" s="347" t="s">
        <v>809</v>
      </c>
      <c r="E51" s="350">
        <v>40947</v>
      </c>
      <c r="F51" s="319" t="s">
        <v>17</v>
      </c>
      <c r="G51" s="319" t="s">
        <v>10</v>
      </c>
      <c r="H51" s="319">
        <v>4.93</v>
      </c>
      <c r="I51" s="319" t="s">
        <v>772</v>
      </c>
      <c r="J51" s="319">
        <v>2</v>
      </c>
      <c r="K51" s="320" t="s">
        <v>757</v>
      </c>
      <c r="L51" s="351"/>
    </row>
    <row r="52" spans="1:12" x14ac:dyDescent="0.2">
      <c r="A52" s="319">
        <v>49</v>
      </c>
      <c r="B52" s="347" t="s">
        <v>67</v>
      </c>
      <c r="C52" s="353">
        <v>41913005</v>
      </c>
      <c r="D52" s="347" t="s">
        <v>810</v>
      </c>
      <c r="E52" s="322">
        <v>42955</v>
      </c>
      <c r="F52" s="319" t="s">
        <v>17</v>
      </c>
      <c r="G52" s="319" t="s">
        <v>11</v>
      </c>
      <c r="H52" s="319">
        <v>4.8099999999999996</v>
      </c>
      <c r="I52" s="319" t="s">
        <v>772</v>
      </c>
      <c r="J52" s="319">
        <v>2</v>
      </c>
      <c r="K52" s="320" t="s">
        <v>757</v>
      </c>
      <c r="L52" s="351"/>
    </row>
    <row r="53" spans="1:12" x14ac:dyDescent="0.2">
      <c r="A53" s="319">
        <v>50</v>
      </c>
      <c r="B53" s="347" t="s">
        <v>67</v>
      </c>
      <c r="C53" s="319">
        <v>89000779</v>
      </c>
      <c r="D53" s="347" t="s">
        <v>811</v>
      </c>
      <c r="E53" s="350">
        <v>38777</v>
      </c>
      <c r="F53" s="319" t="s">
        <v>21</v>
      </c>
      <c r="G53" s="319" t="s">
        <v>11</v>
      </c>
      <c r="H53" s="319">
        <v>4.92</v>
      </c>
      <c r="I53" s="319" t="s">
        <v>772</v>
      </c>
      <c r="J53" s="319">
        <v>2</v>
      </c>
      <c r="K53" s="320" t="s">
        <v>757</v>
      </c>
      <c r="L53" s="351"/>
    </row>
    <row r="54" spans="1:12" x14ac:dyDescent="0.2">
      <c r="A54" s="319">
        <v>51</v>
      </c>
      <c r="B54" s="347" t="s">
        <v>67</v>
      </c>
      <c r="C54" s="319">
        <v>18385247</v>
      </c>
      <c r="D54" s="347" t="s">
        <v>812</v>
      </c>
      <c r="E54" s="350">
        <v>38027</v>
      </c>
      <c r="F54" s="319" t="s">
        <v>17</v>
      </c>
      <c r="G54" s="319" t="s">
        <v>11</v>
      </c>
      <c r="H54" s="319">
        <v>4.92</v>
      </c>
      <c r="I54" s="319" t="s">
        <v>772</v>
      </c>
      <c r="J54" s="319">
        <v>2</v>
      </c>
      <c r="K54" s="320" t="s">
        <v>757</v>
      </c>
      <c r="L54" s="351"/>
    </row>
    <row r="55" spans="1:12" x14ac:dyDescent="0.2">
      <c r="A55" s="319">
        <v>52</v>
      </c>
      <c r="B55" s="347" t="s">
        <v>67</v>
      </c>
      <c r="C55" s="319">
        <v>7537804</v>
      </c>
      <c r="D55" s="347" t="s">
        <v>813</v>
      </c>
      <c r="E55" s="350">
        <v>39660</v>
      </c>
      <c r="F55" s="319" t="s">
        <v>21</v>
      </c>
      <c r="G55" s="319" t="s">
        <v>11</v>
      </c>
      <c r="H55" s="319">
        <v>4.88</v>
      </c>
      <c r="I55" s="319" t="s">
        <v>775</v>
      </c>
      <c r="J55" s="319">
        <v>2</v>
      </c>
      <c r="K55" s="320" t="s">
        <v>757</v>
      </c>
      <c r="L55" s="351"/>
    </row>
    <row r="56" spans="1:12" x14ac:dyDescent="0.2">
      <c r="A56" s="319">
        <v>53</v>
      </c>
      <c r="B56" s="347" t="s">
        <v>67</v>
      </c>
      <c r="C56" s="319">
        <v>24478396</v>
      </c>
      <c r="D56" s="347" t="s">
        <v>814</v>
      </c>
      <c r="E56" s="350">
        <v>35828</v>
      </c>
      <c r="F56" s="319" t="s">
        <v>242</v>
      </c>
      <c r="G56" s="319" t="s">
        <v>11</v>
      </c>
      <c r="H56" s="359">
        <v>4.71</v>
      </c>
      <c r="I56" s="320" t="s">
        <v>760</v>
      </c>
      <c r="J56" s="319">
        <v>2</v>
      </c>
      <c r="K56" s="320" t="s">
        <v>757</v>
      </c>
      <c r="L56" s="351"/>
    </row>
    <row r="57" spans="1:12" ht="25.5" x14ac:dyDescent="0.2">
      <c r="A57" s="354">
        <v>54</v>
      </c>
      <c r="B57" s="356" t="s">
        <v>67</v>
      </c>
      <c r="C57" s="354">
        <v>328307</v>
      </c>
      <c r="D57" s="356" t="s">
        <v>815</v>
      </c>
      <c r="E57" s="357">
        <v>35828</v>
      </c>
      <c r="F57" s="354" t="s">
        <v>17</v>
      </c>
      <c r="G57" s="371" t="s">
        <v>22</v>
      </c>
      <c r="H57" s="372">
        <v>4.75</v>
      </c>
      <c r="I57" s="358" t="s">
        <v>760</v>
      </c>
      <c r="J57" s="354">
        <v>2</v>
      </c>
      <c r="K57" s="358" t="s">
        <v>768</v>
      </c>
      <c r="L57" s="355" t="s">
        <v>816</v>
      </c>
    </row>
    <row r="58" spans="1:12" x14ac:dyDescent="0.2">
      <c r="A58" s="319">
        <v>55</v>
      </c>
      <c r="B58" s="347" t="s">
        <v>67</v>
      </c>
      <c r="C58" s="319">
        <v>98380743</v>
      </c>
      <c r="D58" s="347" t="s">
        <v>817</v>
      </c>
      <c r="E58" s="350">
        <v>38779</v>
      </c>
      <c r="F58" s="319" t="s">
        <v>21</v>
      </c>
      <c r="G58" s="319" t="s">
        <v>11</v>
      </c>
      <c r="H58" s="359">
        <v>4.8600000000000003</v>
      </c>
      <c r="I58" s="320" t="s">
        <v>760</v>
      </c>
      <c r="J58" s="319">
        <v>2</v>
      </c>
      <c r="K58" s="320" t="s">
        <v>757</v>
      </c>
      <c r="L58" s="351"/>
    </row>
    <row r="59" spans="1:12" x14ac:dyDescent="0.2">
      <c r="A59" s="365">
        <v>56</v>
      </c>
      <c r="B59" s="367" t="s">
        <v>67</v>
      </c>
      <c r="C59" s="373">
        <v>42086202</v>
      </c>
      <c r="D59" s="367" t="s">
        <v>247</v>
      </c>
      <c r="E59" s="374">
        <v>42955</v>
      </c>
      <c r="F59" s="365" t="s">
        <v>17</v>
      </c>
      <c r="G59" s="365" t="s">
        <v>11</v>
      </c>
      <c r="H59" s="365">
        <v>4.8899999999999997</v>
      </c>
      <c r="I59" s="365" t="s">
        <v>763</v>
      </c>
      <c r="J59" s="365">
        <v>2</v>
      </c>
      <c r="K59" s="369" t="s">
        <v>757</v>
      </c>
      <c r="L59" s="366" t="s">
        <v>791</v>
      </c>
    </row>
    <row r="60" spans="1:12" x14ac:dyDescent="0.2">
      <c r="A60" s="319">
        <v>57</v>
      </c>
      <c r="B60" s="347" t="s">
        <v>67</v>
      </c>
      <c r="C60" s="364">
        <v>9728326</v>
      </c>
      <c r="D60" s="349" t="s">
        <v>818</v>
      </c>
      <c r="E60" s="360">
        <v>44963</v>
      </c>
      <c r="F60" s="319" t="s">
        <v>17</v>
      </c>
      <c r="G60" s="319" t="s">
        <v>22</v>
      </c>
      <c r="H60" s="361">
        <v>4.83</v>
      </c>
      <c r="I60" s="361" t="s">
        <v>759</v>
      </c>
      <c r="J60" s="319">
        <v>2</v>
      </c>
      <c r="K60" s="320" t="s">
        <v>757</v>
      </c>
      <c r="L60" s="351"/>
    </row>
    <row r="61" spans="1:12" x14ac:dyDescent="0.2">
      <c r="A61" s="319">
        <v>58</v>
      </c>
      <c r="B61" s="347" t="s">
        <v>250</v>
      </c>
      <c r="C61" s="319">
        <v>1094914627</v>
      </c>
      <c r="D61" s="347" t="s">
        <v>819</v>
      </c>
      <c r="E61" s="350">
        <v>45323</v>
      </c>
      <c r="F61" s="319" t="s">
        <v>17</v>
      </c>
      <c r="G61" s="319" t="s">
        <v>22</v>
      </c>
      <c r="H61" s="359">
        <v>4.9000000000000004</v>
      </c>
      <c r="I61" s="319" t="s">
        <v>772</v>
      </c>
      <c r="J61" s="319">
        <v>2</v>
      </c>
      <c r="K61" s="319" t="s">
        <v>757</v>
      </c>
      <c r="L61" s="351"/>
    </row>
    <row r="62" spans="1:12" x14ac:dyDescent="0.2">
      <c r="A62" s="319">
        <v>59</v>
      </c>
      <c r="B62" s="347" t="s">
        <v>250</v>
      </c>
      <c r="C62" s="348">
        <v>89000647</v>
      </c>
      <c r="D62" s="349" t="s">
        <v>820</v>
      </c>
      <c r="E62" s="360">
        <v>44963</v>
      </c>
      <c r="F62" s="319" t="s">
        <v>17</v>
      </c>
      <c r="G62" s="319" t="s">
        <v>22</v>
      </c>
      <c r="H62" s="359">
        <v>4.87</v>
      </c>
      <c r="I62" s="361" t="s">
        <v>759</v>
      </c>
      <c r="J62" s="319">
        <v>2</v>
      </c>
      <c r="K62" s="320" t="s">
        <v>757</v>
      </c>
      <c r="L62" s="351"/>
    </row>
    <row r="63" spans="1:12" x14ac:dyDescent="0.2">
      <c r="A63" s="319">
        <v>60</v>
      </c>
      <c r="B63" s="347" t="s">
        <v>250</v>
      </c>
      <c r="C63" s="319">
        <v>7523648</v>
      </c>
      <c r="D63" s="347" t="s">
        <v>821</v>
      </c>
      <c r="E63" s="350">
        <v>40392</v>
      </c>
      <c r="F63" s="319" t="s">
        <v>17</v>
      </c>
      <c r="G63" s="319" t="s">
        <v>10</v>
      </c>
      <c r="H63" s="361">
        <v>4.75</v>
      </c>
      <c r="I63" s="361" t="s">
        <v>759</v>
      </c>
      <c r="J63" s="319">
        <v>2</v>
      </c>
      <c r="K63" s="320" t="s">
        <v>757</v>
      </c>
      <c r="L63" s="351"/>
    </row>
    <row r="64" spans="1:12" ht="25.5" x14ac:dyDescent="0.2">
      <c r="A64" s="354">
        <v>61</v>
      </c>
      <c r="B64" s="356" t="s">
        <v>250</v>
      </c>
      <c r="C64" s="354">
        <v>36310363</v>
      </c>
      <c r="D64" s="356" t="s">
        <v>822</v>
      </c>
      <c r="E64" s="362">
        <v>42955</v>
      </c>
      <c r="F64" s="354" t="s">
        <v>17</v>
      </c>
      <c r="G64" s="354" t="s">
        <v>10</v>
      </c>
      <c r="H64" s="354">
        <v>4.71</v>
      </c>
      <c r="I64" s="354" t="s">
        <v>764</v>
      </c>
      <c r="J64" s="354">
        <v>2</v>
      </c>
      <c r="K64" s="358" t="s">
        <v>768</v>
      </c>
      <c r="L64" s="355" t="s">
        <v>255</v>
      </c>
    </row>
    <row r="65" spans="1:12" x14ac:dyDescent="0.2">
      <c r="A65" s="319">
        <v>62</v>
      </c>
      <c r="B65" s="347" t="s">
        <v>250</v>
      </c>
      <c r="C65" s="353">
        <v>15435040</v>
      </c>
      <c r="D65" s="347" t="s">
        <v>823</v>
      </c>
      <c r="E65" s="322">
        <v>41872</v>
      </c>
      <c r="F65" s="319" t="s">
        <v>21</v>
      </c>
      <c r="G65" s="319" t="s">
        <v>10</v>
      </c>
      <c r="H65" s="319">
        <v>4.12</v>
      </c>
      <c r="I65" s="319" t="s">
        <v>760</v>
      </c>
      <c r="J65" s="319">
        <v>1.6</v>
      </c>
      <c r="K65" s="320" t="s">
        <v>757</v>
      </c>
      <c r="L65" s="351"/>
    </row>
    <row r="66" spans="1:12" x14ac:dyDescent="0.2">
      <c r="A66" s="319">
        <v>63</v>
      </c>
      <c r="B66" s="347" t="s">
        <v>250</v>
      </c>
      <c r="C66" s="319">
        <v>52353956</v>
      </c>
      <c r="D66" s="347" t="s">
        <v>824</v>
      </c>
      <c r="E66" s="350">
        <v>41872</v>
      </c>
      <c r="F66" s="319" t="s">
        <v>17</v>
      </c>
      <c r="G66" s="319" t="s">
        <v>22</v>
      </c>
      <c r="H66" s="319">
        <v>4.71</v>
      </c>
      <c r="I66" s="319" t="s">
        <v>759</v>
      </c>
      <c r="J66" s="319">
        <v>2</v>
      </c>
      <c r="K66" s="319" t="s">
        <v>757</v>
      </c>
      <c r="L66" s="351"/>
    </row>
    <row r="67" spans="1:12" x14ac:dyDescent="0.2">
      <c r="A67" s="319">
        <v>64</v>
      </c>
      <c r="B67" s="347" t="s">
        <v>61</v>
      </c>
      <c r="C67" s="353">
        <v>30399579</v>
      </c>
      <c r="D67" s="347" t="s">
        <v>825</v>
      </c>
      <c r="E67" s="322">
        <v>42955</v>
      </c>
      <c r="F67" s="319" t="s">
        <v>17</v>
      </c>
      <c r="G67" s="319" t="s">
        <v>62</v>
      </c>
      <c r="H67" s="361">
        <v>4.8600000000000003</v>
      </c>
      <c r="I67" s="319" t="s">
        <v>760</v>
      </c>
      <c r="J67" s="319">
        <v>2</v>
      </c>
      <c r="K67" s="320" t="s">
        <v>757</v>
      </c>
      <c r="L67" s="351"/>
    </row>
    <row r="68" spans="1:12" x14ac:dyDescent="0.2">
      <c r="A68" s="319">
        <v>65</v>
      </c>
      <c r="B68" s="347" t="s">
        <v>61</v>
      </c>
      <c r="C68" s="348">
        <v>38794076</v>
      </c>
      <c r="D68" s="349" t="s">
        <v>826</v>
      </c>
      <c r="E68" s="360">
        <v>44967</v>
      </c>
      <c r="F68" s="348" t="s">
        <v>21</v>
      </c>
      <c r="G68" s="319" t="s">
        <v>22</v>
      </c>
      <c r="H68" s="361">
        <v>4.92</v>
      </c>
      <c r="I68" s="319" t="s">
        <v>760</v>
      </c>
      <c r="J68" s="319">
        <v>2</v>
      </c>
      <c r="K68" s="320" t="s">
        <v>757</v>
      </c>
      <c r="L68" s="351"/>
    </row>
    <row r="69" spans="1:12" x14ac:dyDescent="0.2">
      <c r="A69" s="319">
        <v>66</v>
      </c>
      <c r="B69" s="347" t="s">
        <v>61</v>
      </c>
      <c r="C69" s="353">
        <v>30320098</v>
      </c>
      <c r="D69" s="351" t="s">
        <v>827</v>
      </c>
      <c r="E69" s="322">
        <v>43864</v>
      </c>
      <c r="F69" s="319" t="s">
        <v>21</v>
      </c>
      <c r="G69" s="319" t="s">
        <v>10</v>
      </c>
      <c r="H69" s="320">
        <v>4.87</v>
      </c>
      <c r="I69" s="319" t="s">
        <v>772</v>
      </c>
      <c r="J69" s="319">
        <v>2</v>
      </c>
      <c r="K69" s="320" t="s">
        <v>757</v>
      </c>
      <c r="L69" s="351"/>
    </row>
    <row r="70" spans="1:12" x14ac:dyDescent="0.2">
      <c r="A70" s="319">
        <v>67</v>
      </c>
      <c r="B70" s="347" t="s">
        <v>61</v>
      </c>
      <c r="C70" s="319">
        <v>51802215</v>
      </c>
      <c r="D70" s="347" t="s">
        <v>828</v>
      </c>
      <c r="E70" s="350">
        <v>40947</v>
      </c>
      <c r="F70" s="319" t="s">
        <v>21</v>
      </c>
      <c r="G70" s="319" t="s">
        <v>11</v>
      </c>
      <c r="H70" s="361">
        <v>4.82</v>
      </c>
      <c r="I70" s="319" t="s">
        <v>760</v>
      </c>
      <c r="J70" s="319">
        <v>2</v>
      </c>
      <c r="K70" s="320" t="s">
        <v>757</v>
      </c>
      <c r="L70" s="351"/>
    </row>
    <row r="71" spans="1:12" x14ac:dyDescent="0.2">
      <c r="A71" s="365">
        <v>68</v>
      </c>
      <c r="B71" s="367" t="s">
        <v>61</v>
      </c>
      <c r="C71" s="365">
        <v>24571354</v>
      </c>
      <c r="D71" s="367" t="s">
        <v>829</v>
      </c>
      <c r="E71" s="368">
        <v>41313</v>
      </c>
      <c r="F71" s="365" t="s">
        <v>17</v>
      </c>
      <c r="G71" s="365" t="s">
        <v>10</v>
      </c>
      <c r="H71" s="375">
        <v>4.93</v>
      </c>
      <c r="I71" s="369" t="s">
        <v>772</v>
      </c>
      <c r="J71" s="365">
        <v>2</v>
      </c>
      <c r="K71" s="369" t="s">
        <v>757</v>
      </c>
      <c r="L71" s="366" t="s">
        <v>791</v>
      </c>
    </row>
    <row r="72" spans="1:12" ht="38.25" x14ac:dyDescent="0.2">
      <c r="A72" s="340">
        <v>69</v>
      </c>
      <c r="B72" s="341" t="s">
        <v>61</v>
      </c>
      <c r="C72" s="340">
        <v>24341881</v>
      </c>
      <c r="D72" s="341" t="s">
        <v>830</v>
      </c>
      <c r="E72" s="376">
        <v>40963</v>
      </c>
      <c r="F72" s="340" t="s">
        <v>17</v>
      </c>
      <c r="G72" s="340" t="s">
        <v>62</v>
      </c>
      <c r="H72" s="340">
        <v>4.75</v>
      </c>
      <c r="I72" s="340" t="s">
        <v>795</v>
      </c>
      <c r="J72" s="340">
        <v>2</v>
      </c>
      <c r="K72" s="340" t="s">
        <v>757</v>
      </c>
      <c r="L72" s="342" t="s">
        <v>831</v>
      </c>
    </row>
    <row r="73" spans="1:12" x14ac:dyDescent="0.2">
      <c r="A73" s="319">
        <v>70</v>
      </c>
      <c r="B73" s="347" t="s">
        <v>61</v>
      </c>
      <c r="C73" s="353">
        <v>1094897168</v>
      </c>
      <c r="D73" s="347" t="s">
        <v>832</v>
      </c>
      <c r="E73" s="322">
        <v>42955</v>
      </c>
      <c r="F73" s="319" t="s">
        <v>21</v>
      </c>
      <c r="G73" s="319" t="s">
        <v>22</v>
      </c>
      <c r="H73" s="361">
        <v>4.58</v>
      </c>
      <c r="I73" s="319" t="s">
        <v>760</v>
      </c>
      <c r="J73" s="319">
        <v>2</v>
      </c>
      <c r="K73" s="320" t="s">
        <v>757</v>
      </c>
      <c r="L73" s="351"/>
    </row>
    <row r="74" spans="1:12" ht="38.25" x14ac:dyDescent="0.2">
      <c r="A74" s="340">
        <v>71</v>
      </c>
      <c r="B74" s="341" t="s">
        <v>61</v>
      </c>
      <c r="C74" s="377">
        <v>46373917</v>
      </c>
      <c r="D74" s="342" t="s">
        <v>833</v>
      </c>
      <c r="E74" s="343">
        <v>43864</v>
      </c>
      <c r="F74" s="340" t="s">
        <v>17</v>
      </c>
      <c r="G74" s="340" t="s">
        <v>22</v>
      </c>
      <c r="H74" s="378">
        <v>4.78</v>
      </c>
      <c r="I74" s="340" t="s">
        <v>756</v>
      </c>
      <c r="J74" s="340">
        <v>2</v>
      </c>
      <c r="K74" s="344" t="s">
        <v>757</v>
      </c>
      <c r="L74" s="342" t="s">
        <v>834</v>
      </c>
    </row>
    <row r="75" spans="1:12" x14ac:dyDescent="0.2">
      <c r="A75" s="319">
        <v>72</v>
      </c>
      <c r="B75" s="347" t="s">
        <v>267</v>
      </c>
      <c r="C75" s="348">
        <v>18467629</v>
      </c>
      <c r="D75" s="349" t="s">
        <v>835</v>
      </c>
      <c r="E75" s="360">
        <v>44963</v>
      </c>
      <c r="F75" s="348" t="s">
        <v>21</v>
      </c>
      <c r="G75" s="319" t="s">
        <v>62</v>
      </c>
      <c r="H75" s="319">
        <v>4.72</v>
      </c>
      <c r="I75" s="319" t="s">
        <v>759</v>
      </c>
      <c r="J75" s="319">
        <v>2</v>
      </c>
      <c r="K75" s="320" t="s">
        <v>757</v>
      </c>
      <c r="L75" s="351"/>
    </row>
    <row r="76" spans="1:12" x14ac:dyDescent="0.2">
      <c r="A76" s="319">
        <v>73</v>
      </c>
      <c r="B76" s="347" t="s">
        <v>267</v>
      </c>
      <c r="C76" s="353">
        <v>7549216</v>
      </c>
      <c r="D76" s="347" t="s">
        <v>836</v>
      </c>
      <c r="E76" s="322">
        <v>42955</v>
      </c>
      <c r="F76" s="319" t="s">
        <v>21</v>
      </c>
      <c r="G76" s="319" t="s">
        <v>10</v>
      </c>
      <c r="H76" s="319">
        <v>4.67</v>
      </c>
      <c r="I76" s="319" t="s">
        <v>764</v>
      </c>
      <c r="J76" s="319">
        <v>2</v>
      </c>
      <c r="K76" s="320" t="s">
        <v>757</v>
      </c>
      <c r="L76" s="351"/>
    </row>
    <row r="77" spans="1:12" x14ac:dyDescent="0.2">
      <c r="A77" s="319">
        <v>74</v>
      </c>
      <c r="B77" s="347" t="s">
        <v>267</v>
      </c>
      <c r="C77" s="319">
        <v>75079420</v>
      </c>
      <c r="D77" s="347" t="s">
        <v>837</v>
      </c>
      <c r="E77" s="350">
        <v>39664</v>
      </c>
      <c r="F77" s="319" t="s">
        <v>21</v>
      </c>
      <c r="G77" s="319" t="s">
        <v>10</v>
      </c>
      <c r="H77" s="319">
        <v>4.76</v>
      </c>
      <c r="I77" s="319" t="s">
        <v>764</v>
      </c>
      <c r="J77" s="319">
        <v>2</v>
      </c>
      <c r="K77" s="320" t="s">
        <v>757</v>
      </c>
      <c r="L77" s="351"/>
    </row>
    <row r="78" spans="1:12" x14ac:dyDescent="0.2">
      <c r="A78" s="319">
        <v>75</v>
      </c>
      <c r="B78" s="347" t="s">
        <v>267</v>
      </c>
      <c r="C78" s="319">
        <v>7521214</v>
      </c>
      <c r="D78" s="347" t="s">
        <v>838</v>
      </c>
      <c r="E78" s="350">
        <v>35828</v>
      </c>
      <c r="F78" s="319" t="s">
        <v>21</v>
      </c>
      <c r="G78" s="319" t="s">
        <v>11</v>
      </c>
      <c r="H78" s="359">
        <v>4.5</v>
      </c>
      <c r="I78" s="319" t="s">
        <v>772</v>
      </c>
      <c r="J78" s="319">
        <v>1.6</v>
      </c>
      <c r="K78" s="320" t="s">
        <v>757</v>
      </c>
      <c r="L78" s="351"/>
    </row>
    <row r="79" spans="1:12" ht="38.25" x14ac:dyDescent="0.2">
      <c r="A79" s="340">
        <v>76</v>
      </c>
      <c r="B79" s="341" t="s">
        <v>267</v>
      </c>
      <c r="C79" s="340">
        <v>33816860</v>
      </c>
      <c r="D79" s="341" t="s">
        <v>839</v>
      </c>
      <c r="E79" s="376">
        <v>41436</v>
      </c>
      <c r="F79" s="340" t="s">
        <v>17</v>
      </c>
      <c r="G79" s="340" t="s">
        <v>10</v>
      </c>
      <c r="H79" s="340">
        <v>4.63</v>
      </c>
      <c r="I79" s="340" t="s">
        <v>790</v>
      </c>
      <c r="J79" s="340">
        <v>2</v>
      </c>
      <c r="K79" s="340" t="s">
        <v>840</v>
      </c>
      <c r="L79" s="342" t="s">
        <v>841</v>
      </c>
    </row>
    <row r="80" spans="1:12" x14ac:dyDescent="0.2">
      <c r="A80" s="319">
        <v>77</v>
      </c>
      <c r="B80" s="347" t="s">
        <v>274</v>
      </c>
      <c r="C80" s="348">
        <v>91499439</v>
      </c>
      <c r="D80" s="349" t="s">
        <v>842</v>
      </c>
      <c r="E80" s="360">
        <v>44963</v>
      </c>
      <c r="F80" s="319" t="s">
        <v>21</v>
      </c>
      <c r="G80" s="319" t="s">
        <v>22</v>
      </c>
      <c r="H80" s="361">
        <v>4.82</v>
      </c>
      <c r="I80" s="319" t="s">
        <v>759</v>
      </c>
      <c r="J80" s="319">
        <v>2</v>
      </c>
      <c r="K80" s="320" t="s">
        <v>757</v>
      </c>
      <c r="L80" s="351"/>
    </row>
    <row r="81" spans="1:12" x14ac:dyDescent="0.2">
      <c r="A81" s="319">
        <v>78</v>
      </c>
      <c r="B81" s="347" t="s">
        <v>274</v>
      </c>
      <c r="C81" s="319">
        <v>89005929</v>
      </c>
      <c r="D81" s="347" t="s">
        <v>843</v>
      </c>
      <c r="E81" s="350">
        <v>38376</v>
      </c>
      <c r="F81" s="319" t="s">
        <v>21</v>
      </c>
      <c r="G81" s="319" t="s">
        <v>10</v>
      </c>
      <c r="H81" s="319">
        <v>4.72</v>
      </c>
      <c r="I81" s="319" t="s">
        <v>763</v>
      </c>
      <c r="J81" s="319">
        <v>2</v>
      </c>
      <c r="K81" s="320" t="s">
        <v>757</v>
      </c>
      <c r="L81" s="351"/>
    </row>
    <row r="82" spans="1:12" x14ac:dyDescent="0.2">
      <c r="A82" s="319">
        <v>79</v>
      </c>
      <c r="B82" s="347" t="s">
        <v>274</v>
      </c>
      <c r="C82" s="319">
        <v>98337524</v>
      </c>
      <c r="D82" s="347" t="s">
        <v>844</v>
      </c>
      <c r="E82" s="350">
        <v>36951</v>
      </c>
      <c r="F82" s="319" t="s">
        <v>21</v>
      </c>
      <c r="G82" s="319" t="s">
        <v>10</v>
      </c>
      <c r="H82" s="319">
        <v>4.91</v>
      </c>
      <c r="I82" s="319" t="s">
        <v>763</v>
      </c>
      <c r="J82" s="319">
        <v>2</v>
      </c>
      <c r="K82" s="320" t="s">
        <v>757</v>
      </c>
      <c r="L82" s="351"/>
    </row>
    <row r="83" spans="1:12" ht="25.5" x14ac:dyDescent="0.2">
      <c r="A83" s="354">
        <v>80</v>
      </c>
      <c r="B83" s="356" t="s">
        <v>274</v>
      </c>
      <c r="C83" s="354">
        <v>70420310</v>
      </c>
      <c r="D83" s="356" t="s">
        <v>845</v>
      </c>
      <c r="E83" s="357">
        <v>40973</v>
      </c>
      <c r="F83" s="354" t="s">
        <v>21</v>
      </c>
      <c r="G83" s="354" t="s">
        <v>10</v>
      </c>
      <c r="H83" s="363">
        <v>5</v>
      </c>
      <c r="I83" s="354" t="s">
        <v>760</v>
      </c>
      <c r="J83" s="354">
        <v>2</v>
      </c>
      <c r="K83" s="358" t="s">
        <v>768</v>
      </c>
      <c r="L83" s="355" t="s">
        <v>279</v>
      </c>
    </row>
    <row r="84" spans="1:12" x14ac:dyDescent="0.2">
      <c r="A84" s="319">
        <v>81</v>
      </c>
      <c r="B84" s="347" t="s">
        <v>274</v>
      </c>
      <c r="C84" s="353">
        <v>43267159</v>
      </c>
      <c r="D84" s="351" t="s">
        <v>846</v>
      </c>
      <c r="E84" s="350">
        <v>43864</v>
      </c>
      <c r="F84" s="319" t="s">
        <v>21</v>
      </c>
      <c r="G84" s="319" t="s">
        <v>10</v>
      </c>
      <c r="H84" s="319">
        <v>4.91</v>
      </c>
      <c r="I84" s="319" t="s">
        <v>759</v>
      </c>
      <c r="J84" s="319">
        <v>2</v>
      </c>
      <c r="K84" s="320" t="s">
        <v>757</v>
      </c>
      <c r="L84" s="351"/>
    </row>
    <row r="85" spans="1:12" x14ac:dyDescent="0.2">
      <c r="A85" s="319">
        <v>82</v>
      </c>
      <c r="B85" s="351" t="s">
        <v>274</v>
      </c>
      <c r="C85" s="320">
        <v>10110620</v>
      </c>
      <c r="D85" s="351" t="s">
        <v>847</v>
      </c>
      <c r="E85" s="322">
        <v>39664</v>
      </c>
      <c r="F85" s="320" t="s">
        <v>21</v>
      </c>
      <c r="G85" s="320" t="s">
        <v>11</v>
      </c>
      <c r="H85" s="320">
        <v>4.51</v>
      </c>
      <c r="I85" s="320" t="s">
        <v>760</v>
      </c>
      <c r="J85" s="319">
        <v>2</v>
      </c>
      <c r="K85" s="320" t="s">
        <v>757</v>
      </c>
      <c r="L85" s="351"/>
    </row>
    <row r="86" spans="1:12" x14ac:dyDescent="0.2">
      <c r="A86" s="319">
        <v>83</v>
      </c>
      <c r="B86" s="347" t="s">
        <v>283</v>
      </c>
      <c r="C86" s="353">
        <v>41914225</v>
      </c>
      <c r="D86" s="347" t="s">
        <v>848</v>
      </c>
      <c r="E86" s="322">
        <v>42955</v>
      </c>
      <c r="F86" s="319" t="s">
        <v>17</v>
      </c>
      <c r="G86" s="319" t="s">
        <v>10</v>
      </c>
      <c r="H86" s="319">
        <v>4.96</v>
      </c>
      <c r="I86" s="319" t="s">
        <v>775</v>
      </c>
      <c r="J86" s="319">
        <v>2</v>
      </c>
      <c r="K86" s="320" t="s">
        <v>757</v>
      </c>
      <c r="L86" s="351"/>
    </row>
    <row r="87" spans="1:12" x14ac:dyDescent="0.2">
      <c r="A87" s="319">
        <v>84</v>
      </c>
      <c r="B87" s="347" t="s">
        <v>283</v>
      </c>
      <c r="C87" s="319">
        <v>7548440</v>
      </c>
      <c r="D87" s="347" t="s">
        <v>849</v>
      </c>
      <c r="E87" s="322">
        <v>41872</v>
      </c>
      <c r="F87" s="319" t="s">
        <v>21</v>
      </c>
      <c r="G87" s="319" t="s">
        <v>10</v>
      </c>
      <c r="H87" s="319">
        <v>4.68</v>
      </c>
      <c r="I87" s="319" t="s">
        <v>759</v>
      </c>
      <c r="J87" s="319">
        <v>2</v>
      </c>
      <c r="K87" s="320" t="s">
        <v>757</v>
      </c>
      <c r="L87" s="351"/>
    </row>
    <row r="88" spans="1:12" x14ac:dyDescent="0.2">
      <c r="A88" s="319">
        <v>85</v>
      </c>
      <c r="B88" s="347" t="s">
        <v>283</v>
      </c>
      <c r="C88" s="353">
        <v>34536538</v>
      </c>
      <c r="D88" s="347" t="s">
        <v>850</v>
      </c>
      <c r="E88" s="322">
        <v>42955</v>
      </c>
      <c r="F88" s="319" t="s">
        <v>17</v>
      </c>
      <c r="G88" s="319" t="s">
        <v>10</v>
      </c>
      <c r="H88" s="319">
        <v>4.96</v>
      </c>
      <c r="I88" s="319" t="s">
        <v>775</v>
      </c>
      <c r="J88" s="319">
        <v>2</v>
      </c>
      <c r="K88" s="320" t="s">
        <v>757</v>
      </c>
      <c r="L88" s="351"/>
    </row>
    <row r="89" spans="1:12" x14ac:dyDescent="0.2">
      <c r="A89" s="319">
        <v>86</v>
      </c>
      <c r="B89" s="347" t="s">
        <v>63</v>
      </c>
      <c r="C89" s="319">
        <v>18494950</v>
      </c>
      <c r="D89" s="347" t="s">
        <v>851</v>
      </c>
      <c r="E89" s="350">
        <v>37288</v>
      </c>
      <c r="F89" s="319" t="s">
        <v>17</v>
      </c>
      <c r="G89" s="319" t="s">
        <v>62</v>
      </c>
      <c r="H89" s="319">
        <v>4.59</v>
      </c>
      <c r="I89" s="319" t="s">
        <v>760</v>
      </c>
      <c r="J89" s="319">
        <v>2</v>
      </c>
      <c r="K89" s="320" t="s">
        <v>757</v>
      </c>
      <c r="L89" s="351"/>
    </row>
    <row r="90" spans="1:12" x14ac:dyDescent="0.2">
      <c r="A90" s="319">
        <v>87</v>
      </c>
      <c r="B90" s="347" t="s">
        <v>63</v>
      </c>
      <c r="C90" s="319">
        <v>7561197</v>
      </c>
      <c r="D90" s="347" t="s">
        <v>287</v>
      </c>
      <c r="E90" s="350">
        <v>37288</v>
      </c>
      <c r="F90" s="319" t="s">
        <v>21</v>
      </c>
      <c r="G90" s="319" t="s">
        <v>10</v>
      </c>
      <c r="H90" s="319">
        <v>4.8600000000000003</v>
      </c>
      <c r="I90" s="319" t="s">
        <v>760</v>
      </c>
      <c r="J90" s="319">
        <v>2</v>
      </c>
      <c r="K90" s="320" t="s">
        <v>757</v>
      </c>
      <c r="L90" s="351"/>
    </row>
    <row r="91" spans="1:12" x14ac:dyDescent="0.2">
      <c r="A91" s="319">
        <v>88</v>
      </c>
      <c r="B91" s="347" t="s">
        <v>63</v>
      </c>
      <c r="C91" s="353">
        <v>41948404</v>
      </c>
      <c r="D91" s="347" t="s">
        <v>852</v>
      </c>
      <c r="E91" s="322">
        <v>42955</v>
      </c>
      <c r="F91" s="319" t="s">
        <v>17</v>
      </c>
      <c r="G91" s="319" t="s">
        <v>22</v>
      </c>
      <c r="H91" s="359">
        <v>4.7</v>
      </c>
      <c r="I91" s="319" t="s">
        <v>772</v>
      </c>
      <c r="J91" s="319">
        <v>2</v>
      </c>
      <c r="K91" s="320" t="s">
        <v>757</v>
      </c>
      <c r="L91" s="351"/>
    </row>
    <row r="92" spans="1:12" x14ac:dyDescent="0.2">
      <c r="A92" s="319">
        <v>89</v>
      </c>
      <c r="B92" s="347" t="s">
        <v>63</v>
      </c>
      <c r="C92" s="348">
        <v>41945865</v>
      </c>
      <c r="D92" s="349" t="s">
        <v>853</v>
      </c>
      <c r="E92" s="360">
        <v>44963</v>
      </c>
      <c r="F92" s="348" t="s">
        <v>17</v>
      </c>
      <c r="G92" s="319" t="s">
        <v>22</v>
      </c>
      <c r="H92" s="361">
        <v>4.84</v>
      </c>
      <c r="I92" s="319" t="s">
        <v>759</v>
      </c>
      <c r="J92" s="319">
        <v>2</v>
      </c>
      <c r="K92" s="320" t="s">
        <v>757</v>
      </c>
      <c r="L92" s="351"/>
    </row>
    <row r="93" spans="1:12" x14ac:dyDescent="0.2">
      <c r="A93" s="319">
        <v>90</v>
      </c>
      <c r="B93" s="347" t="s">
        <v>63</v>
      </c>
      <c r="C93" s="348">
        <v>89008169</v>
      </c>
      <c r="D93" s="349" t="s">
        <v>290</v>
      </c>
      <c r="E93" s="360">
        <v>44963</v>
      </c>
      <c r="F93" s="348" t="s">
        <v>17</v>
      </c>
      <c r="G93" s="319" t="s">
        <v>62</v>
      </c>
      <c r="H93" s="361">
        <v>4.84</v>
      </c>
      <c r="I93" s="319" t="s">
        <v>759</v>
      </c>
      <c r="J93" s="319">
        <v>2</v>
      </c>
      <c r="K93" s="320" t="s">
        <v>757</v>
      </c>
      <c r="L93" s="351"/>
    </row>
    <row r="94" spans="1:12" x14ac:dyDescent="0.2">
      <c r="A94" s="319">
        <v>91</v>
      </c>
      <c r="B94" s="347" t="s">
        <v>63</v>
      </c>
      <c r="C94" s="353">
        <v>9866770</v>
      </c>
      <c r="D94" s="347" t="s">
        <v>291</v>
      </c>
      <c r="E94" s="322">
        <v>42955</v>
      </c>
      <c r="F94" s="319" t="s">
        <v>21</v>
      </c>
      <c r="G94" s="319" t="s">
        <v>22</v>
      </c>
      <c r="H94" s="319">
        <v>4.87</v>
      </c>
      <c r="I94" s="319" t="s">
        <v>772</v>
      </c>
      <c r="J94" s="319">
        <v>2</v>
      </c>
      <c r="K94" s="320" t="s">
        <v>757</v>
      </c>
      <c r="L94" s="351"/>
    </row>
    <row r="95" spans="1:12" x14ac:dyDescent="0.2">
      <c r="A95" s="319">
        <v>92</v>
      </c>
      <c r="B95" s="347" t="s">
        <v>63</v>
      </c>
      <c r="C95" s="319">
        <v>7530943</v>
      </c>
      <c r="D95" s="347" t="s">
        <v>854</v>
      </c>
      <c r="E95" s="350">
        <v>33991</v>
      </c>
      <c r="F95" s="319" t="s">
        <v>17</v>
      </c>
      <c r="G95" s="319" t="s">
        <v>22</v>
      </c>
      <c r="H95" s="359">
        <v>4.8</v>
      </c>
      <c r="I95" s="319" t="s">
        <v>772</v>
      </c>
      <c r="J95" s="319">
        <v>2</v>
      </c>
      <c r="K95" s="320" t="s">
        <v>757</v>
      </c>
      <c r="L95" s="351"/>
    </row>
    <row r="96" spans="1:12" x14ac:dyDescent="0.2">
      <c r="A96" s="319">
        <v>93</v>
      </c>
      <c r="B96" s="347" t="s">
        <v>63</v>
      </c>
      <c r="C96" s="353">
        <v>7555284</v>
      </c>
      <c r="D96" s="347" t="s">
        <v>855</v>
      </c>
      <c r="E96" s="350">
        <v>40203</v>
      </c>
      <c r="F96" s="319" t="s">
        <v>17</v>
      </c>
      <c r="G96" s="319" t="s">
        <v>22</v>
      </c>
      <c r="H96" s="319">
        <v>4.6900000000000004</v>
      </c>
      <c r="I96" s="319" t="s">
        <v>772</v>
      </c>
      <c r="J96" s="319">
        <v>2</v>
      </c>
      <c r="K96" s="320" t="s">
        <v>757</v>
      </c>
      <c r="L96" s="351"/>
    </row>
    <row r="97" spans="1:12" x14ac:dyDescent="0.2">
      <c r="A97" s="319">
        <v>94</v>
      </c>
      <c r="B97" s="347" t="s">
        <v>63</v>
      </c>
      <c r="C97" s="319">
        <v>89006026</v>
      </c>
      <c r="D97" s="347" t="s">
        <v>856</v>
      </c>
      <c r="E97" s="350">
        <v>39142</v>
      </c>
      <c r="F97" s="319" t="s">
        <v>17</v>
      </c>
      <c r="G97" s="319" t="s">
        <v>10</v>
      </c>
      <c r="H97" s="319">
        <v>4.92</v>
      </c>
      <c r="I97" s="319" t="s">
        <v>760</v>
      </c>
      <c r="J97" s="319">
        <v>2</v>
      </c>
      <c r="K97" s="320" t="s">
        <v>757</v>
      </c>
      <c r="L97" s="351"/>
    </row>
    <row r="98" spans="1:12" x14ac:dyDescent="0.2">
      <c r="A98" s="319">
        <v>95</v>
      </c>
      <c r="B98" s="347" t="s">
        <v>63</v>
      </c>
      <c r="C98" s="319">
        <v>34554225</v>
      </c>
      <c r="D98" s="347" t="s">
        <v>857</v>
      </c>
      <c r="E98" s="350">
        <v>38376</v>
      </c>
      <c r="F98" s="319" t="s">
        <v>17</v>
      </c>
      <c r="G98" s="319" t="s">
        <v>62</v>
      </c>
      <c r="H98" s="319">
        <v>4.68</v>
      </c>
      <c r="I98" s="319" t="s">
        <v>760</v>
      </c>
      <c r="J98" s="319">
        <v>2</v>
      </c>
      <c r="K98" s="320" t="s">
        <v>757</v>
      </c>
      <c r="L98" s="351"/>
    </row>
    <row r="99" spans="1:12" x14ac:dyDescent="0.2">
      <c r="A99" s="319">
        <v>96</v>
      </c>
      <c r="B99" s="347" t="s">
        <v>63</v>
      </c>
      <c r="C99" s="319">
        <v>7556767</v>
      </c>
      <c r="D99" s="347" t="s">
        <v>858</v>
      </c>
      <c r="E99" s="350">
        <v>35828</v>
      </c>
      <c r="F99" s="319" t="s">
        <v>21</v>
      </c>
      <c r="G99" s="319" t="s">
        <v>22</v>
      </c>
      <c r="H99" s="319">
        <v>4.84</v>
      </c>
      <c r="I99" s="319" t="s">
        <v>772</v>
      </c>
      <c r="J99" s="319">
        <v>2</v>
      </c>
      <c r="K99" s="320" t="s">
        <v>757</v>
      </c>
      <c r="L99" s="351"/>
    </row>
    <row r="100" spans="1:12" x14ac:dyDescent="0.2">
      <c r="A100" s="319">
        <v>97</v>
      </c>
      <c r="B100" s="347" t="s">
        <v>63</v>
      </c>
      <c r="C100" s="319">
        <v>7548119</v>
      </c>
      <c r="D100" s="347" t="s">
        <v>297</v>
      </c>
      <c r="E100" s="350">
        <v>35828</v>
      </c>
      <c r="F100" s="319" t="s">
        <v>21</v>
      </c>
      <c r="G100" s="319" t="s">
        <v>22</v>
      </c>
      <c r="H100" s="319">
        <v>4.83</v>
      </c>
      <c r="I100" s="319" t="s">
        <v>760</v>
      </c>
      <c r="J100" s="319">
        <v>2</v>
      </c>
      <c r="K100" s="320" t="s">
        <v>757</v>
      </c>
      <c r="L100" s="351"/>
    </row>
    <row r="101" spans="1:12" ht="51" x14ac:dyDescent="0.2">
      <c r="A101" s="340">
        <v>98</v>
      </c>
      <c r="B101" s="341" t="s">
        <v>63</v>
      </c>
      <c r="C101" s="340">
        <v>89001775</v>
      </c>
      <c r="D101" s="341" t="s">
        <v>859</v>
      </c>
      <c r="E101" s="376">
        <v>40947</v>
      </c>
      <c r="F101" s="340" t="s">
        <v>17</v>
      </c>
      <c r="G101" s="340" t="s">
        <v>11</v>
      </c>
      <c r="H101" s="340">
        <v>4.74</v>
      </c>
      <c r="I101" s="340" t="s">
        <v>756</v>
      </c>
      <c r="J101" s="340">
        <v>2</v>
      </c>
      <c r="K101" s="344" t="s">
        <v>757</v>
      </c>
      <c r="L101" s="342" t="s">
        <v>860</v>
      </c>
    </row>
    <row r="102" spans="1:12" ht="38.25" x14ac:dyDescent="0.2">
      <c r="A102" s="354">
        <v>99</v>
      </c>
      <c r="B102" s="356" t="s">
        <v>63</v>
      </c>
      <c r="C102" s="354">
        <v>18416179</v>
      </c>
      <c r="D102" s="356" t="s">
        <v>861</v>
      </c>
      <c r="E102" s="357">
        <v>39199</v>
      </c>
      <c r="F102" s="354" t="s">
        <v>17</v>
      </c>
      <c r="G102" s="354" t="s">
        <v>10</v>
      </c>
      <c r="H102" s="372">
        <v>5</v>
      </c>
      <c r="I102" s="358" t="s">
        <v>797</v>
      </c>
      <c r="J102" s="354">
        <v>2</v>
      </c>
      <c r="K102" s="358" t="s">
        <v>768</v>
      </c>
      <c r="L102" s="355" t="s">
        <v>302</v>
      </c>
    </row>
    <row r="103" spans="1:12" ht="25.5" x14ac:dyDescent="0.2">
      <c r="A103" s="354">
        <v>100</v>
      </c>
      <c r="B103" s="356" t="s">
        <v>63</v>
      </c>
      <c r="C103" s="354">
        <v>7503647</v>
      </c>
      <c r="D103" s="356" t="s">
        <v>862</v>
      </c>
      <c r="E103" s="357">
        <v>28185</v>
      </c>
      <c r="F103" s="354" t="s">
        <v>17</v>
      </c>
      <c r="G103" s="354" t="s">
        <v>11</v>
      </c>
      <c r="H103" s="372">
        <v>5</v>
      </c>
      <c r="I103" s="358" t="s">
        <v>797</v>
      </c>
      <c r="J103" s="354">
        <v>2</v>
      </c>
      <c r="K103" s="358" t="s">
        <v>768</v>
      </c>
      <c r="L103" s="355" t="s">
        <v>304</v>
      </c>
    </row>
    <row r="104" spans="1:12" x14ac:dyDescent="0.2">
      <c r="A104" s="319">
        <v>101</v>
      </c>
      <c r="B104" s="347" t="s">
        <v>63</v>
      </c>
      <c r="C104" s="319">
        <v>79851951</v>
      </c>
      <c r="D104" s="347" t="s">
        <v>863</v>
      </c>
      <c r="E104" s="350">
        <v>41964</v>
      </c>
      <c r="F104" s="319" t="s">
        <v>17</v>
      </c>
      <c r="G104" s="319" t="s">
        <v>10</v>
      </c>
      <c r="H104" s="319">
        <v>4.6399999999999997</v>
      </c>
      <c r="I104" s="319" t="s">
        <v>772</v>
      </c>
      <c r="J104" s="319">
        <v>2</v>
      </c>
      <c r="K104" s="320" t="s">
        <v>757</v>
      </c>
      <c r="L104" s="351"/>
    </row>
    <row r="105" spans="1:12" ht="25.5" x14ac:dyDescent="0.2">
      <c r="A105" s="354">
        <v>102</v>
      </c>
      <c r="B105" s="356" t="s">
        <v>63</v>
      </c>
      <c r="C105" s="379">
        <v>30397494</v>
      </c>
      <c r="D105" s="380" t="s">
        <v>864</v>
      </c>
      <c r="E105" s="362">
        <v>42955</v>
      </c>
      <c r="F105" s="354" t="s">
        <v>17</v>
      </c>
      <c r="G105" s="354" t="s">
        <v>22</v>
      </c>
      <c r="H105" s="372">
        <v>4.9000000000000004</v>
      </c>
      <c r="I105" s="358" t="s">
        <v>760</v>
      </c>
      <c r="J105" s="354">
        <v>2</v>
      </c>
      <c r="K105" s="358" t="s">
        <v>768</v>
      </c>
      <c r="L105" s="355" t="s">
        <v>307</v>
      </c>
    </row>
    <row r="106" spans="1:12" x14ac:dyDescent="0.2">
      <c r="A106" s="319">
        <v>103</v>
      </c>
      <c r="B106" s="347" t="s">
        <v>309</v>
      </c>
      <c r="C106" s="353">
        <v>43876871</v>
      </c>
      <c r="D106" s="347" t="s">
        <v>865</v>
      </c>
      <c r="E106" s="350">
        <v>41963</v>
      </c>
      <c r="F106" s="319" t="s">
        <v>866</v>
      </c>
      <c r="G106" s="320" t="s">
        <v>10</v>
      </c>
      <c r="H106" s="319">
        <v>4.96</v>
      </c>
      <c r="I106" s="319" t="s">
        <v>772</v>
      </c>
      <c r="J106" s="319">
        <v>2</v>
      </c>
      <c r="K106" s="320" t="s">
        <v>757</v>
      </c>
      <c r="L106" s="351"/>
    </row>
    <row r="107" spans="1:12" x14ac:dyDescent="0.2">
      <c r="A107" s="319">
        <v>104</v>
      </c>
      <c r="B107" s="347" t="s">
        <v>309</v>
      </c>
      <c r="C107" s="319">
        <v>7559351</v>
      </c>
      <c r="D107" s="347" t="s">
        <v>867</v>
      </c>
      <c r="E107" s="350">
        <v>40963</v>
      </c>
      <c r="F107" s="319" t="s">
        <v>21</v>
      </c>
      <c r="G107" s="319" t="s">
        <v>11</v>
      </c>
      <c r="H107" s="319">
        <v>4.6900000000000004</v>
      </c>
      <c r="I107" s="319" t="s">
        <v>772</v>
      </c>
      <c r="J107" s="319">
        <v>2</v>
      </c>
      <c r="K107" s="320" t="s">
        <v>757</v>
      </c>
      <c r="L107" s="351"/>
    </row>
    <row r="108" spans="1:12" x14ac:dyDescent="0.2">
      <c r="A108" s="319">
        <v>105</v>
      </c>
      <c r="B108" s="347" t="s">
        <v>309</v>
      </c>
      <c r="C108" s="353">
        <v>79326473</v>
      </c>
      <c r="D108" s="370" t="s">
        <v>313</v>
      </c>
      <c r="E108" s="350">
        <v>41673</v>
      </c>
      <c r="F108" s="319" t="s">
        <v>21</v>
      </c>
      <c r="G108" s="319" t="s">
        <v>10</v>
      </c>
      <c r="H108" s="319">
        <v>4.96</v>
      </c>
      <c r="I108" s="319" t="s">
        <v>760</v>
      </c>
      <c r="J108" s="319">
        <v>2</v>
      </c>
      <c r="K108" s="320" t="s">
        <v>757</v>
      </c>
      <c r="L108" s="351"/>
    </row>
    <row r="109" spans="1:12" x14ac:dyDescent="0.2">
      <c r="A109" s="319">
        <v>106</v>
      </c>
      <c r="B109" s="347" t="s">
        <v>309</v>
      </c>
      <c r="C109" s="353">
        <v>30394707</v>
      </c>
      <c r="D109" s="370" t="s">
        <v>868</v>
      </c>
      <c r="E109" s="350">
        <v>41673</v>
      </c>
      <c r="F109" s="319" t="s">
        <v>21</v>
      </c>
      <c r="G109" s="319" t="s">
        <v>10</v>
      </c>
      <c r="H109" s="319">
        <v>4.82</v>
      </c>
      <c r="I109" s="319" t="s">
        <v>760</v>
      </c>
      <c r="J109" s="319">
        <v>2</v>
      </c>
      <c r="K109" s="320" t="s">
        <v>757</v>
      </c>
      <c r="L109" s="351"/>
    </row>
    <row r="110" spans="1:12" x14ac:dyDescent="0.2">
      <c r="A110" s="319">
        <v>107</v>
      </c>
      <c r="B110" s="347" t="s">
        <v>309</v>
      </c>
      <c r="C110" s="319">
        <v>41721518</v>
      </c>
      <c r="D110" s="347" t="s">
        <v>869</v>
      </c>
      <c r="E110" s="350">
        <v>31810</v>
      </c>
      <c r="F110" s="319" t="s">
        <v>21</v>
      </c>
      <c r="G110" s="319" t="s">
        <v>10</v>
      </c>
      <c r="H110" s="361">
        <v>4.8899999999999997</v>
      </c>
      <c r="I110" s="319" t="s">
        <v>775</v>
      </c>
      <c r="J110" s="319">
        <v>2</v>
      </c>
      <c r="K110" s="320" t="s">
        <v>757</v>
      </c>
      <c r="L110" s="351"/>
    </row>
    <row r="111" spans="1:12" ht="25.5" x14ac:dyDescent="0.2">
      <c r="A111" s="354">
        <v>108</v>
      </c>
      <c r="B111" s="356" t="s">
        <v>309</v>
      </c>
      <c r="C111" s="379">
        <v>9732960</v>
      </c>
      <c r="D111" s="380" t="s">
        <v>316</v>
      </c>
      <c r="E111" s="362">
        <v>41872</v>
      </c>
      <c r="F111" s="354" t="s">
        <v>21</v>
      </c>
      <c r="G111" s="354" t="s">
        <v>11</v>
      </c>
      <c r="H111" s="354">
        <v>4.6100000000000003</v>
      </c>
      <c r="I111" s="354" t="s">
        <v>760</v>
      </c>
      <c r="J111" s="354">
        <v>2</v>
      </c>
      <c r="K111" s="358" t="s">
        <v>768</v>
      </c>
      <c r="L111" s="355" t="s">
        <v>318</v>
      </c>
    </row>
    <row r="112" spans="1:12" x14ac:dyDescent="0.2">
      <c r="A112" s="319">
        <v>109</v>
      </c>
      <c r="B112" s="347" t="s">
        <v>309</v>
      </c>
      <c r="C112" s="319">
        <v>41922558</v>
      </c>
      <c r="D112" s="347" t="s">
        <v>319</v>
      </c>
      <c r="E112" s="350">
        <v>40203</v>
      </c>
      <c r="F112" s="319" t="s">
        <v>21</v>
      </c>
      <c r="G112" s="319" t="s">
        <v>11</v>
      </c>
      <c r="H112" s="361">
        <v>4.8600000000000003</v>
      </c>
      <c r="I112" s="319" t="s">
        <v>763</v>
      </c>
      <c r="J112" s="319">
        <v>2</v>
      </c>
      <c r="K112" s="320" t="s">
        <v>757</v>
      </c>
      <c r="L112" s="351"/>
    </row>
    <row r="113" spans="1:12" x14ac:dyDescent="0.2">
      <c r="A113" s="319">
        <v>110</v>
      </c>
      <c r="B113" s="347" t="s">
        <v>870</v>
      </c>
      <c r="C113" s="319">
        <v>94286282</v>
      </c>
      <c r="D113" s="347" t="s">
        <v>871</v>
      </c>
      <c r="E113" s="350">
        <v>40203</v>
      </c>
      <c r="F113" s="319" t="s">
        <v>21</v>
      </c>
      <c r="G113" s="319" t="s">
        <v>10</v>
      </c>
      <c r="H113" s="361">
        <v>4.92</v>
      </c>
      <c r="I113" s="319" t="s">
        <v>775</v>
      </c>
      <c r="J113" s="319">
        <v>2</v>
      </c>
      <c r="K113" s="320" t="s">
        <v>757</v>
      </c>
      <c r="L113" s="347"/>
    </row>
    <row r="114" spans="1:12" x14ac:dyDescent="0.2">
      <c r="A114" s="319">
        <v>111</v>
      </c>
      <c r="B114" s="347" t="s">
        <v>870</v>
      </c>
      <c r="C114" s="319">
        <v>89004671</v>
      </c>
      <c r="D114" s="347" t="s">
        <v>872</v>
      </c>
      <c r="E114" s="350">
        <v>38985</v>
      </c>
      <c r="F114" s="319" t="s">
        <v>21</v>
      </c>
      <c r="G114" s="319" t="s">
        <v>11</v>
      </c>
      <c r="H114" s="361">
        <v>4.93</v>
      </c>
      <c r="I114" s="319" t="s">
        <v>775</v>
      </c>
      <c r="J114" s="319">
        <v>2</v>
      </c>
      <c r="K114" s="320" t="s">
        <v>757</v>
      </c>
      <c r="L114" s="347"/>
    </row>
    <row r="115" spans="1:12" x14ac:dyDescent="0.2">
      <c r="A115" s="319">
        <v>112</v>
      </c>
      <c r="B115" s="347" t="s">
        <v>870</v>
      </c>
      <c r="C115" s="319">
        <v>7561086</v>
      </c>
      <c r="D115" s="347" t="s">
        <v>873</v>
      </c>
      <c r="E115" s="350">
        <v>38551</v>
      </c>
      <c r="F115" s="319" t="s">
        <v>21</v>
      </c>
      <c r="G115" s="319" t="s">
        <v>11</v>
      </c>
      <c r="H115" s="319">
        <v>4.83</v>
      </c>
      <c r="I115" s="319" t="s">
        <v>763</v>
      </c>
      <c r="J115" s="319">
        <v>2</v>
      </c>
      <c r="K115" s="320" t="s">
        <v>757</v>
      </c>
      <c r="L115" s="347"/>
    </row>
    <row r="116" spans="1:12" x14ac:dyDescent="0.2">
      <c r="A116" s="319">
        <v>113</v>
      </c>
      <c r="B116" s="347" t="s">
        <v>870</v>
      </c>
      <c r="C116" s="348">
        <v>24582340</v>
      </c>
      <c r="D116" s="349" t="s">
        <v>874</v>
      </c>
      <c r="E116" s="360">
        <v>44963</v>
      </c>
      <c r="F116" s="348" t="s">
        <v>17</v>
      </c>
      <c r="G116" s="319" t="s">
        <v>22</v>
      </c>
      <c r="H116" s="361">
        <v>4.72</v>
      </c>
      <c r="I116" s="319" t="s">
        <v>759</v>
      </c>
      <c r="J116" s="319">
        <v>2</v>
      </c>
      <c r="K116" s="320" t="s">
        <v>757</v>
      </c>
      <c r="L116" s="347"/>
    </row>
    <row r="117" spans="1:12" x14ac:dyDescent="0.2">
      <c r="A117" s="319">
        <v>114</v>
      </c>
      <c r="B117" s="347" t="s">
        <v>870</v>
      </c>
      <c r="C117" s="319">
        <v>16786435</v>
      </c>
      <c r="D117" s="347" t="s">
        <v>875</v>
      </c>
      <c r="E117" s="350">
        <v>36084</v>
      </c>
      <c r="F117" s="319" t="s">
        <v>21</v>
      </c>
      <c r="G117" s="319" t="s">
        <v>11</v>
      </c>
      <c r="H117" s="359">
        <v>4.24</v>
      </c>
      <c r="I117" s="319" t="s">
        <v>772</v>
      </c>
      <c r="J117" s="319">
        <v>1.6</v>
      </c>
      <c r="K117" s="320" t="s">
        <v>757</v>
      </c>
      <c r="L117" s="347"/>
    </row>
    <row r="118" spans="1:12" ht="25.5" x14ac:dyDescent="0.2">
      <c r="A118" s="354">
        <v>115</v>
      </c>
      <c r="B118" s="356" t="s">
        <v>870</v>
      </c>
      <c r="C118" s="354">
        <v>9736170</v>
      </c>
      <c r="D118" s="356" t="s">
        <v>876</v>
      </c>
      <c r="E118" s="357">
        <v>40959</v>
      </c>
      <c r="F118" s="354" t="s">
        <v>21</v>
      </c>
      <c r="G118" s="354" t="s">
        <v>10</v>
      </c>
      <c r="H118" s="363">
        <v>5</v>
      </c>
      <c r="I118" s="354" t="s">
        <v>760</v>
      </c>
      <c r="J118" s="354">
        <v>2</v>
      </c>
      <c r="K118" s="358" t="s">
        <v>768</v>
      </c>
      <c r="L118" s="355" t="s">
        <v>326</v>
      </c>
    </row>
    <row r="119" spans="1:12" x14ac:dyDescent="0.2">
      <c r="A119" s="319">
        <v>116</v>
      </c>
      <c r="B119" s="347" t="s">
        <v>870</v>
      </c>
      <c r="C119" s="319">
        <v>7560430</v>
      </c>
      <c r="D119" s="347" t="s">
        <v>877</v>
      </c>
      <c r="E119" s="350">
        <v>37165</v>
      </c>
      <c r="F119" s="319" t="s">
        <v>21</v>
      </c>
      <c r="G119" s="319" t="s">
        <v>11</v>
      </c>
      <c r="H119" s="319">
        <v>4.88</v>
      </c>
      <c r="I119" s="319" t="s">
        <v>760</v>
      </c>
      <c r="J119" s="319">
        <v>2</v>
      </c>
      <c r="K119" s="320" t="s">
        <v>757</v>
      </c>
      <c r="L119" s="347"/>
    </row>
    <row r="120" spans="1:12" x14ac:dyDescent="0.2">
      <c r="A120" s="365">
        <v>117</v>
      </c>
      <c r="B120" s="367" t="s">
        <v>870</v>
      </c>
      <c r="C120" s="365">
        <v>14896480</v>
      </c>
      <c r="D120" s="367" t="s">
        <v>878</v>
      </c>
      <c r="E120" s="368">
        <v>37165</v>
      </c>
      <c r="F120" s="365" t="s">
        <v>21</v>
      </c>
      <c r="G120" s="365" t="s">
        <v>11</v>
      </c>
      <c r="H120" s="365">
        <v>4.91</v>
      </c>
      <c r="I120" s="365" t="s">
        <v>797</v>
      </c>
      <c r="J120" s="365">
        <v>2</v>
      </c>
      <c r="K120" s="369" t="s">
        <v>757</v>
      </c>
      <c r="L120" s="366" t="s">
        <v>791</v>
      </c>
    </row>
    <row r="121" spans="1:12" x14ac:dyDescent="0.2">
      <c r="A121" s="319">
        <v>118</v>
      </c>
      <c r="B121" s="347" t="s">
        <v>870</v>
      </c>
      <c r="C121" s="348">
        <v>18493676</v>
      </c>
      <c r="D121" s="349" t="s">
        <v>879</v>
      </c>
      <c r="E121" s="360">
        <v>44963</v>
      </c>
      <c r="F121" s="348" t="s">
        <v>17</v>
      </c>
      <c r="G121" s="319" t="s">
        <v>22</v>
      </c>
      <c r="H121" s="361">
        <v>4.84</v>
      </c>
      <c r="I121" s="319" t="s">
        <v>759</v>
      </c>
      <c r="J121" s="319">
        <v>2</v>
      </c>
      <c r="K121" s="320" t="s">
        <v>757</v>
      </c>
      <c r="L121" s="347"/>
    </row>
    <row r="122" spans="1:12" x14ac:dyDescent="0.2">
      <c r="A122" s="319">
        <v>119</v>
      </c>
      <c r="B122" s="347" t="s">
        <v>870</v>
      </c>
      <c r="C122" s="319">
        <v>41945894</v>
      </c>
      <c r="D122" s="347" t="s">
        <v>330</v>
      </c>
      <c r="E122" s="350">
        <v>38393</v>
      </c>
      <c r="F122" s="319" t="s">
        <v>21</v>
      </c>
      <c r="G122" s="319" t="s">
        <v>11</v>
      </c>
      <c r="H122" s="319">
        <v>4.75</v>
      </c>
      <c r="I122" s="319" t="s">
        <v>760</v>
      </c>
      <c r="J122" s="319">
        <v>2</v>
      </c>
      <c r="K122" s="320" t="s">
        <v>757</v>
      </c>
      <c r="L122" s="347"/>
    </row>
    <row r="123" spans="1:12" ht="25.5" x14ac:dyDescent="0.2">
      <c r="A123" s="354">
        <v>120</v>
      </c>
      <c r="B123" s="356" t="s">
        <v>870</v>
      </c>
      <c r="C123" s="354">
        <v>7558022</v>
      </c>
      <c r="D123" s="356" t="s">
        <v>880</v>
      </c>
      <c r="E123" s="357">
        <v>37165</v>
      </c>
      <c r="F123" s="354" t="s">
        <v>17</v>
      </c>
      <c r="G123" s="354" t="s">
        <v>10</v>
      </c>
      <c r="H123" s="372">
        <v>5</v>
      </c>
      <c r="I123" s="358" t="s">
        <v>760</v>
      </c>
      <c r="J123" s="354">
        <v>2</v>
      </c>
      <c r="K123" s="358" t="s">
        <v>768</v>
      </c>
      <c r="L123" s="355" t="s">
        <v>881</v>
      </c>
    </row>
    <row r="124" spans="1:12" x14ac:dyDescent="0.2">
      <c r="A124" s="319">
        <v>121</v>
      </c>
      <c r="B124" s="347" t="s">
        <v>870</v>
      </c>
      <c r="C124" s="319">
        <v>7545283</v>
      </c>
      <c r="D124" s="347" t="s">
        <v>882</v>
      </c>
      <c r="E124" s="322">
        <v>42955</v>
      </c>
      <c r="F124" s="319" t="s">
        <v>17</v>
      </c>
      <c r="G124" s="319" t="s">
        <v>22</v>
      </c>
      <c r="H124" s="319">
        <v>4.75</v>
      </c>
      <c r="I124" s="319" t="s">
        <v>756</v>
      </c>
      <c r="J124" s="319">
        <v>2</v>
      </c>
      <c r="K124" s="320" t="s">
        <v>757</v>
      </c>
      <c r="L124" s="347"/>
    </row>
    <row r="125" spans="1:12" x14ac:dyDescent="0.2">
      <c r="A125" s="319">
        <v>122</v>
      </c>
      <c r="B125" s="347" t="s">
        <v>870</v>
      </c>
      <c r="C125" s="348">
        <v>16512197</v>
      </c>
      <c r="D125" s="349" t="s">
        <v>883</v>
      </c>
      <c r="E125" s="360">
        <v>44963</v>
      </c>
      <c r="F125" s="348" t="s">
        <v>17</v>
      </c>
      <c r="G125" s="319" t="s">
        <v>22</v>
      </c>
      <c r="H125" s="361">
        <v>4.93</v>
      </c>
      <c r="I125" s="319" t="s">
        <v>759</v>
      </c>
      <c r="J125" s="319">
        <v>2</v>
      </c>
      <c r="K125" s="320" t="s">
        <v>757</v>
      </c>
      <c r="L125" s="347"/>
    </row>
    <row r="126" spans="1:12" x14ac:dyDescent="0.2">
      <c r="A126" s="319">
        <v>123</v>
      </c>
      <c r="B126" s="347" t="s">
        <v>870</v>
      </c>
      <c r="C126" s="319">
        <v>41948811</v>
      </c>
      <c r="D126" s="347" t="s">
        <v>884</v>
      </c>
      <c r="E126" s="350">
        <v>40203</v>
      </c>
      <c r="F126" s="319" t="s">
        <v>21</v>
      </c>
      <c r="G126" s="319" t="s">
        <v>11</v>
      </c>
      <c r="H126" s="319">
        <v>4.88</v>
      </c>
      <c r="I126" s="319" t="s">
        <v>760</v>
      </c>
      <c r="J126" s="319">
        <v>2</v>
      </c>
      <c r="K126" s="320" t="s">
        <v>757</v>
      </c>
      <c r="L126" s="351"/>
    </row>
    <row r="127" spans="1:12" x14ac:dyDescent="0.2">
      <c r="A127" s="319">
        <v>124</v>
      </c>
      <c r="B127" s="347" t="s">
        <v>870</v>
      </c>
      <c r="C127" s="319">
        <v>18397507</v>
      </c>
      <c r="D127" s="347" t="s">
        <v>885</v>
      </c>
      <c r="E127" s="322">
        <v>41872</v>
      </c>
      <c r="F127" s="319" t="s">
        <v>21</v>
      </c>
      <c r="G127" s="319" t="s">
        <v>10</v>
      </c>
      <c r="H127" s="361">
        <v>4.97</v>
      </c>
      <c r="I127" s="319" t="s">
        <v>775</v>
      </c>
      <c r="J127" s="319">
        <v>2</v>
      </c>
      <c r="K127" s="320" t="s">
        <v>757</v>
      </c>
      <c r="L127" s="347"/>
    </row>
    <row r="128" spans="1:12" x14ac:dyDescent="0.2">
      <c r="A128" s="319">
        <v>125</v>
      </c>
      <c r="B128" s="347" t="s">
        <v>870</v>
      </c>
      <c r="C128" s="353">
        <v>18401163</v>
      </c>
      <c r="D128" s="351" t="s">
        <v>337</v>
      </c>
      <c r="E128" s="322">
        <v>43864</v>
      </c>
      <c r="F128" s="319" t="s">
        <v>17</v>
      </c>
      <c r="G128" s="319" t="s">
        <v>10</v>
      </c>
      <c r="H128" s="319">
        <v>4.92</v>
      </c>
      <c r="I128" s="319" t="s">
        <v>760</v>
      </c>
      <c r="J128" s="319">
        <v>2</v>
      </c>
      <c r="K128" s="320" t="s">
        <v>757</v>
      </c>
      <c r="L128" s="347"/>
    </row>
    <row r="129" spans="1:12" x14ac:dyDescent="0.2">
      <c r="A129" s="319">
        <v>126</v>
      </c>
      <c r="B129" s="347" t="s">
        <v>870</v>
      </c>
      <c r="C129" s="319">
        <v>41948277</v>
      </c>
      <c r="D129" s="347" t="s">
        <v>886</v>
      </c>
      <c r="E129" s="350">
        <v>38551</v>
      </c>
      <c r="F129" s="319" t="s">
        <v>21</v>
      </c>
      <c r="G129" s="319" t="s">
        <v>11</v>
      </c>
      <c r="H129" s="319">
        <v>4.87</v>
      </c>
      <c r="I129" s="319" t="s">
        <v>772</v>
      </c>
      <c r="J129" s="319">
        <v>2</v>
      </c>
      <c r="K129" s="320" t="s">
        <v>757</v>
      </c>
      <c r="L129" s="347"/>
    </row>
    <row r="130" spans="1:12" x14ac:dyDescent="0.2">
      <c r="A130" s="319">
        <v>127</v>
      </c>
      <c r="B130" s="347" t="s">
        <v>74</v>
      </c>
      <c r="C130" s="348">
        <v>9730805</v>
      </c>
      <c r="D130" s="349" t="s">
        <v>887</v>
      </c>
      <c r="E130" s="360">
        <v>44963</v>
      </c>
      <c r="F130" s="348" t="s">
        <v>17</v>
      </c>
      <c r="G130" s="319" t="s">
        <v>22</v>
      </c>
      <c r="H130" s="361">
        <v>4.93</v>
      </c>
      <c r="I130" s="319" t="s">
        <v>759</v>
      </c>
      <c r="J130" s="319">
        <v>2</v>
      </c>
      <c r="K130" s="320" t="s">
        <v>757</v>
      </c>
      <c r="L130" s="351"/>
    </row>
    <row r="131" spans="1:12" x14ac:dyDescent="0.2">
      <c r="A131" s="319">
        <v>128</v>
      </c>
      <c r="B131" s="347" t="s">
        <v>74</v>
      </c>
      <c r="C131" s="319">
        <v>76318502</v>
      </c>
      <c r="D131" s="347" t="s">
        <v>888</v>
      </c>
      <c r="E131" s="350">
        <v>40203</v>
      </c>
      <c r="F131" s="319" t="s">
        <v>21</v>
      </c>
      <c r="G131" s="319" t="s">
        <v>11</v>
      </c>
      <c r="H131" s="319">
        <v>4.66</v>
      </c>
      <c r="I131" s="319" t="s">
        <v>772</v>
      </c>
      <c r="J131" s="319">
        <v>2</v>
      </c>
      <c r="K131" s="320" t="s">
        <v>757</v>
      </c>
      <c r="L131" s="347"/>
    </row>
    <row r="132" spans="1:12" x14ac:dyDescent="0.2">
      <c r="A132" s="319">
        <v>129</v>
      </c>
      <c r="B132" s="347" t="s">
        <v>74</v>
      </c>
      <c r="C132" s="319">
        <v>76316780</v>
      </c>
      <c r="D132" s="347" t="s">
        <v>889</v>
      </c>
      <c r="E132" s="350">
        <v>38376</v>
      </c>
      <c r="F132" s="319" t="s">
        <v>21</v>
      </c>
      <c r="G132" s="319" t="s">
        <v>11</v>
      </c>
      <c r="H132" s="320">
        <v>4.92</v>
      </c>
      <c r="I132" s="319" t="s">
        <v>763</v>
      </c>
      <c r="J132" s="319">
        <v>2</v>
      </c>
      <c r="K132" s="320" t="s">
        <v>757</v>
      </c>
      <c r="L132" s="347"/>
    </row>
    <row r="133" spans="1:12" x14ac:dyDescent="0.2">
      <c r="A133" s="319">
        <v>130</v>
      </c>
      <c r="B133" s="347" t="s">
        <v>74</v>
      </c>
      <c r="C133" s="319">
        <v>17657692</v>
      </c>
      <c r="D133" s="347" t="s">
        <v>343</v>
      </c>
      <c r="E133" s="350">
        <v>40947</v>
      </c>
      <c r="F133" s="319" t="s">
        <v>21</v>
      </c>
      <c r="G133" s="319" t="s">
        <v>10</v>
      </c>
      <c r="H133" s="319">
        <v>4.82</v>
      </c>
      <c r="I133" s="319" t="s">
        <v>775</v>
      </c>
      <c r="J133" s="319">
        <v>2</v>
      </c>
      <c r="K133" s="320" t="s">
        <v>757</v>
      </c>
      <c r="L133" s="351"/>
    </row>
    <row r="134" spans="1:12" x14ac:dyDescent="0.2">
      <c r="A134" s="319">
        <v>131</v>
      </c>
      <c r="B134" s="347" t="s">
        <v>74</v>
      </c>
      <c r="C134" s="319">
        <v>76323234</v>
      </c>
      <c r="D134" s="347" t="s">
        <v>344</v>
      </c>
      <c r="E134" s="322">
        <v>41872</v>
      </c>
      <c r="F134" s="319" t="s">
        <v>21</v>
      </c>
      <c r="G134" s="319" t="s">
        <v>11</v>
      </c>
      <c r="H134" s="319">
        <v>4.8600000000000003</v>
      </c>
      <c r="I134" s="319" t="s">
        <v>775</v>
      </c>
      <c r="J134" s="319">
        <v>2</v>
      </c>
      <c r="K134" s="320" t="s">
        <v>757</v>
      </c>
      <c r="L134" s="351"/>
    </row>
    <row r="135" spans="1:12" x14ac:dyDescent="0.2">
      <c r="A135" s="319">
        <v>132</v>
      </c>
      <c r="B135" s="347" t="s">
        <v>74</v>
      </c>
      <c r="C135" s="319">
        <v>94453488</v>
      </c>
      <c r="D135" s="347" t="s">
        <v>890</v>
      </c>
      <c r="E135" s="350">
        <v>38376</v>
      </c>
      <c r="F135" s="319" t="s">
        <v>21</v>
      </c>
      <c r="G135" s="319" t="s">
        <v>11</v>
      </c>
      <c r="H135" s="319">
        <v>4.8499999999999996</v>
      </c>
      <c r="I135" s="319" t="s">
        <v>772</v>
      </c>
      <c r="J135" s="319">
        <v>2</v>
      </c>
      <c r="K135" s="320" t="s">
        <v>757</v>
      </c>
      <c r="L135" s="347"/>
    </row>
    <row r="136" spans="1:12" x14ac:dyDescent="0.2">
      <c r="A136" s="319">
        <v>133</v>
      </c>
      <c r="B136" s="347" t="s">
        <v>74</v>
      </c>
      <c r="C136" s="319">
        <v>16747204</v>
      </c>
      <c r="D136" s="347" t="s">
        <v>891</v>
      </c>
      <c r="E136" s="350">
        <v>37159</v>
      </c>
      <c r="F136" s="319" t="s">
        <v>17</v>
      </c>
      <c r="G136" s="319" t="s">
        <v>22</v>
      </c>
      <c r="H136" s="361">
        <v>4.95</v>
      </c>
      <c r="I136" s="320" t="s">
        <v>760</v>
      </c>
      <c r="J136" s="319">
        <v>2</v>
      </c>
      <c r="K136" s="320" t="s">
        <v>757</v>
      </c>
      <c r="L136" s="347"/>
    </row>
    <row r="137" spans="1:12" x14ac:dyDescent="0.2">
      <c r="A137" s="319">
        <v>134</v>
      </c>
      <c r="B137" s="347" t="s">
        <v>74</v>
      </c>
      <c r="C137" s="319">
        <v>18388816</v>
      </c>
      <c r="D137" s="347" t="s">
        <v>892</v>
      </c>
      <c r="E137" s="322">
        <v>42955</v>
      </c>
      <c r="F137" s="319" t="s">
        <v>17</v>
      </c>
      <c r="G137" s="319" t="s">
        <v>22</v>
      </c>
      <c r="H137" s="319">
        <v>4.47</v>
      </c>
      <c r="I137" s="319" t="s">
        <v>775</v>
      </c>
      <c r="J137" s="319">
        <v>1.6</v>
      </c>
      <c r="K137" s="320" t="s">
        <v>757</v>
      </c>
      <c r="L137" s="351"/>
    </row>
    <row r="138" spans="1:12" x14ac:dyDescent="0.2">
      <c r="A138" s="319">
        <v>135</v>
      </c>
      <c r="B138" s="347" t="s">
        <v>74</v>
      </c>
      <c r="C138" s="319">
        <v>94317593</v>
      </c>
      <c r="D138" s="347" t="s">
        <v>893</v>
      </c>
      <c r="E138" s="350">
        <v>38393</v>
      </c>
      <c r="F138" s="319" t="s">
        <v>17</v>
      </c>
      <c r="G138" s="319" t="s">
        <v>10</v>
      </c>
      <c r="H138" s="359">
        <v>4.8</v>
      </c>
      <c r="I138" s="319" t="s">
        <v>772</v>
      </c>
      <c r="J138" s="319">
        <v>2</v>
      </c>
      <c r="K138" s="320" t="s">
        <v>757</v>
      </c>
      <c r="L138" s="351"/>
    </row>
    <row r="139" spans="1:12" x14ac:dyDescent="0.2">
      <c r="A139" s="319">
        <v>136</v>
      </c>
      <c r="B139" s="347" t="s">
        <v>74</v>
      </c>
      <c r="C139" s="353">
        <v>18399636</v>
      </c>
      <c r="D139" s="347" t="s">
        <v>894</v>
      </c>
      <c r="E139" s="350">
        <v>40203</v>
      </c>
      <c r="F139" s="319" t="s">
        <v>21</v>
      </c>
      <c r="G139" s="319" t="s">
        <v>350</v>
      </c>
      <c r="H139" s="361">
        <v>4.95</v>
      </c>
      <c r="I139" s="320" t="s">
        <v>760</v>
      </c>
      <c r="J139" s="319">
        <v>2</v>
      </c>
      <c r="K139" s="320" t="s">
        <v>757</v>
      </c>
      <c r="L139" s="351"/>
    </row>
    <row r="140" spans="1:12" x14ac:dyDescent="0.2">
      <c r="A140" s="319">
        <v>137</v>
      </c>
      <c r="B140" s="347" t="s">
        <v>74</v>
      </c>
      <c r="C140" s="319">
        <v>89007514</v>
      </c>
      <c r="D140" s="347" t="s">
        <v>895</v>
      </c>
      <c r="E140" s="350">
        <v>37165</v>
      </c>
      <c r="F140" s="319" t="s">
        <v>21</v>
      </c>
      <c r="G140" s="319" t="s">
        <v>10</v>
      </c>
      <c r="H140" s="359">
        <v>4.9000000000000004</v>
      </c>
      <c r="I140" s="319" t="s">
        <v>772</v>
      </c>
      <c r="J140" s="319">
        <v>2</v>
      </c>
      <c r="K140" s="320" t="s">
        <v>757</v>
      </c>
      <c r="L140" s="351"/>
    </row>
    <row r="141" spans="1:12" ht="38.25" x14ac:dyDescent="0.2">
      <c r="A141" s="340">
        <v>138</v>
      </c>
      <c r="B141" s="341" t="s">
        <v>74</v>
      </c>
      <c r="C141" s="377">
        <v>9770373</v>
      </c>
      <c r="D141" s="342" t="s">
        <v>896</v>
      </c>
      <c r="E141" s="343">
        <v>43864</v>
      </c>
      <c r="F141" s="340" t="s">
        <v>17</v>
      </c>
      <c r="G141" s="340" t="s">
        <v>22</v>
      </c>
      <c r="H141" s="378">
        <v>4.83</v>
      </c>
      <c r="I141" s="340" t="s">
        <v>756</v>
      </c>
      <c r="J141" s="340">
        <v>2</v>
      </c>
      <c r="K141" s="344" t="s">
        <v>757</v>
      </c>
      <c r="L141" s="342" t="s">
        <v>897</v>
      </c>
    </row>
    <row r="142" spans="1:12" x14ac:dyDescent="0.2">
      <c r="A142" s="319">
        <v>139</v>
      </c>
      <c r="B142" s="347" t="s">
        <v>74</v>
      </c>
      <c r="C142" s="348">
        <v>1094901176</v>
      </c>
      <c r="D142" s="349" t="s">
        <v>353</v>
      </c>
      <c r="E142" s="360">
        <v>44977</v>
      </c>
      <c r="F142" s="319" t="s">
        <v>17</v>
      </c>
      <c r="G142" s="319" t="s">
        <v>22</v>
      </c>
      <c r="H142" s="361">
        <v>4.95</v>
      </c>
      <c r="I142" s="319" t="s">
        <v>759</v>
      </c>
      <c r="J142" s="319">
        <v>2</v>
      </c>
      <c r="K142" s="320" t="s">
        <v>757</v>
      </c>
      <c r="L142" s="351"/>
    </row>
    <row r="143" spans="1:12" x14ac:dyDescent="0.2">
      <c r="A143" s="319">
        <v>140</v>
      </c>
      <c r="B143" s="347" t="s">
        <v>74</v>
      </c>
      <c r="C143" s="319">
        <v>94528666</v>
      </c>
      <c r="D143" s="347" t="s">
        <v>898</v>
      </c>
      <c r="E143" s="350">
        <v>38762</v>
      </c>
      <c r="F143" s="319" t="s">
        <v>21</v>
      </c>
      <c r="G143" s="319" t="s">
        <v>22</v>
      </c>
      <c r="H143" s="359">
        <v>4.92</v>
      </c>
      <c r="I143" s="319" t="s">
        <v>772</v>
      </c>
      <c r="J143" s="319">
        <v>2</v>
      </c>
      <c r="K143" s="320" t="s">
        <v>757</v>
      </c>
      <c r="L143" s="351"/>
    </row>
    <row r="144" spans="1:12" ht="25.5" x14ac:dyDescent="0.2">
      <c r="A144" s="354">
        <v>141</v>
      </c>
      <c r="B144" s="356" t="s">
        <v>899</v>
      </c>
      <c r="C144" s="379">
        <v>7540648</v>
      </c>
      <c r="D144" s="356" t="s">
        <v>900</v>
      </c>
      <c r="E144" s="357">
        <v>42955</v>
      </c>
      <c r="F144" s="354" t="s">
        <v>17</v>
      </c>
      <c r="G144" s="354" t="s">
        <v>10</v>
      </c>
      <c r="H144" s="372">
        <v>5</v>
      </c>
      <c r="I144" s="358" t="s">
        <v>760</v>
      </c>
      <c r="J144" s="354">
        <v>2</v>
      </c>
      <c r="K144" s="358" t="s">
        <v>768</v>
      </c>
      <c r="L144" s="355" t="s">
        <v>357</v>
      </c>
    </row>
    <row r="145" spans="1:12" x14ac:dyDescent="0.2">
      <c r="A145" s="319">
        <v>142</v>
      </c>
      <c r="B145" s="347" t="s">
        <v>899</v>
      </c>
      <c r="C145" s="353">
        <v>89007517</v>
      </c>
      <c r="D145" s="347" t="s">
        <v>901</v>
      </c>
      <c r="E145" s="350">
        <v>42955</v>
      </c>
      <c r="F145" s="319" t="s">
        <v>21</v>
      </c>
      <c r="G145" s="319" t="s">
        <v>10</v>
      </c>
      <c r="H145" s="361">
        <v>4.91</v>
      </c>
      <c r="I145" s="319" t="s">
        <v>760</v>
      </c>
      <c r="J145" s="319">
        <v>2</v>
      </c>
      <c r="K145" s="320" t="s">
        <v>757</v>
      </c>
      <c r="L145" s="351"/>
    </row>
    <row r="146" spans="1:12" x14ac:dyDescent="0.2">
      <c r="A146" s="319">
        <v>143</v>
      </c>
      <c r="B146" s="347" t="s">
        <v>899</v>
      </c>
      <c r="C146" s="319">
        <v>7530842</v>
      </c>
      <c r="D146" s="347" t="s">
        <v>359</v>
      </c>
      <c r="E146" s="350">
        <v>34171</v>
      </c>
      <c r="F146" s="319" t="s">
        <v>17</v>
      </c>
      <c r="G146" s="319" t="s">
        <v>10</v>
      </c>
      <c r="H146" s="361">
        <v>4.83</v>
      </c>
      <c r="I146" s="319" t="s">
        <v>772</v>
      </c>
      <c r="J146" s="319">
        <v>2</v>
      </c>
      <c r="K146" s="320" t="s">
        <v>757</v>
      </c>
      <c r="L146" s="351"/>
    </row>
    <row r="147" spans="1:12" x14ac:dyDescent="0.2">
      <c r="A147" s="319">
        <v>144</v>
      </c>
      <c r="B147" s="347" t="s">
        <v>899</v>
      </c>
      <c r="C147" s="319">
        <v>7540504</v>
      </c>
      <c r="D147" s="347" t="s">
        <v>902</v>
      </c>
      <c r="E147" s="350">
        <v>34171</v>
      </c>
      <c r="F147" s="319" t="s">
        <v>17</v>
      </c>
      <c r="G147" s="319" t="s">
        <v>11</v>
      </c>
      <c r="H147" s="361">
        <v>4.91</v>
      </c>
      <c r="I147" s="319" t="s">
        <v>763</v>
      </c>
      <c r="J147" s="319">
        <v>2</v>
      </c>
      <c r="K147" s="320" t="s">
        <v>757</v>
      </c>
      <c r="L147" s="351"/>
    </row>
    <row r="148" spans="1:12" x14ac:dyDescent="0.2">
      <c r="A148" s="319">
        <v>145</v>
      </c>
      <c r="B148" s="347" t="s">
        <v>899</v>
      </c>
      <c r="C148" s="364">
        <v>18470142</v>
      </c>
      <c r="D148" s="349" t="s">
        <v>361</v>
      </c>
      <c r="E148" s="360">
        <v>44963</v>
      </c>
      <c r="F148" s="348" t="s">
        <v>17</v>
      </c>
      <c r="G148" s="319" t="s">
        <v>22</v>
      </c>
      <c r="H148" s="361">
        <v>4.99</v>
      </c>
      <c r="I148" s="319" t="s">
        <v>759</v>
      </c>
      <c r="J148" s="319">
        <v>2</v>
      </c>
      <c r="K148" s="320" t="s">
        <v>757</v>
      </c>
      <c r="L148" s="351"/>
    </row>
    <row r="149" spans="1:12" x14ac:dyDescent="0.2">
      <c r="A149" s="319">
        <v>146</v>
      </c>
      <c r="B149" s="347" t="s">
        <v>899</v>
      </c>
      <c r="C149" s="319">
        <v>88141692</v>
      </c>
      <c r="D149" s="347" t="s">
        <v>903</v>
      </c>
      <c r="E149" s="350">
        <v>34834</v>
      </c>
      <c r="F149" s="319" t="s">
        <v>21</v>
      </c>
      <c r="G149" s="319" t="s">
        <v>22</v>
      </c>
      <c r="H149" s="361">
        <v>4.96</v>
      </c>
      <c r="I149" s="319" t="s">
        <v>760</v>
      </c>
      <c r="J149" s="319">
        <v>2</v>
      </c>
      <c r="K149" s="320" t="s">
        <v>757</v>
      </c>
      <c r="L149" s="351"/>
    </row>
    <row r="150" spans="1:12" x14ac:dyDescent="0.2">
      <c r="A150" s="319">
        <v>147</v>
      </c>
      <c r="B150" s="347" t="s">
        <v>899</v>
      </c>
      <c r="C150" s="319">
        <v>14267648</v>
      </c>
      <c r="D150" s="347" t="s">
        <v>904</v>
      </c>
      <c r="E150" s="350">
        <v>31489</v>
      </c>
      <c r="F150" s="319" t="s">
        <v>242</v>
      </c>
      <c r="G150" s="319" t="s">
        <v>10</v>
      </c>
      <c r="H150" s="361">
        <v>4.74</v>
      </c>
      <c r="I150" s="319" t="s">
        <v>760</v>
      </c>
      <c r="J150" s="319">
        <v>2</v>
      </c>
      <c r="K150" s="320" t="s">
        <v>757</v>
      </c>
      <c r="L150" s="351"/>
    </row>
    <row r="151" spans="1:12" x14ac:dyDescent="0.2">
      <c r="A151" s="319">
        <v>148</v>
      </c>
      <c r="B151" s="347" t="s">
        <v>905</v>
      </c>
      <c r="C151" s="319">
        <v>16356361</v>
      </c>
      <c r="D151" s="347" t="s">
        <v>364</v>
      </c>
      <c r="E151" s="350">
        <v>36923</v>
      </c>
      <c r="F151" s="319" t="s">
        <v>21</v>
      </c>
      <c r="G151" s="319" t="s">
        <v>11</v>
      </c>
      <c r="H151" s="361">
        <v>5</v>
      </c>
      <c r="I151" s="319" t="s">
        <v>760</v>
      </c>
      <c r="J151" s="319">
        <v>2</v>
      </c>
      <c r="K151" s="320" t="s">
        <v>757</v>
      </c>
      <c r="L151" s="351"/>
    </row>
    <row r="152" spans="1:12" x14ac:dyDescent="0.2">
      <c r="A152" s="319">
        <v>149</v>
      </c>
      <c r="B152" s="347" t="s">
        <v>905</v>
      </c>
      <c r="C152" s="319">
        <v>41885303</v>
      </c>
      <c r="D152" s="347" t="s">
        <v>906</v>
      </c>
      <c r="E152" s="350">
        <v>35828</v>
      </c>
      <c r="F152" s="319" t="s">
        <v>21</v>
      </c>
      <c r="G152" s="319" t="s">
        <v>11</v>
      </c>
      <c r="H152" s="361">
        <v>4.9400000000000004</v>
      </c>
      <c r="I152" s="319" t="s">
        <v>763</v>
      </c>
      <c r="J152" s="319">
        <v>2</v>
      </c>
      <c r="K152" s="320" t="s">
        <v>757</v>
      </c>
      <c r="L152" s="351"/>
    </row>
    <row r="153" spans="1:12" ht="25.5" x14ac:dyDescent="0.2">
      <c r="A153" s="319">
        <v>150</v>
      </c>
      <c r="B153" s="351" t="s">
        <v>78</v>
      </c>
      <c r="C153" s="319">
        <v>89006712</v>
      </c>
      <c r="D153" s="347" t="s">
        <v>907</v>
      </c>
      <c r="E153" s="350">
        <v>41436</v>
      </c>
      <c r="F153" s="319" t="s">
        <v>21</v>
      </c>
      <c r="G153" s="319" t="s">
        <v>10</v>
      </c>
      <c r="H153" s="361">
        <v>4.8499999999999996</v>
      </c>
      <c r="I153" s="319" t="s">
        <v>775</v>
      </c>
      <c r="J153" s="319">
        <v>2</v>
      </c>
      <c r="K153" s="320" t="s">
        <v>757</v>
      </c>
      <c r="L153" s="351"/>
    </row>
    <row r="154" spans="1:12" ht="25.5" x14ac:dyDescent="0.2">
      <c r="A154" s="319">
        <v>151</v>
      </c>
      <c r="B154" s="351" t="s">
        <v>78</v>
      </c>
      <c r="C154" s="319">
        <v>10481831</v>
      </c>
      <c r="D154" s="347" t="s">
        <v>908</v>
      </c>
      <c r="E154" s="350">
        <v>38803</v>
      </c>
      <c r="F154" s="319" t="s">
        <v>21</v>
      </c>
      <c r="G154" s="319" t="s">
        <v>22</v>
      </c>
      <c r="H154" s="319">
        <v>4.37</v>
      </c>
      <c r="I154" s="319" t="s">
        <v>775</v>
      </c>
      <c r="J154" s="319">
        <v>1.6</v>
      </c>
      <c r="K154" s="320" t="s">
        <v>757</v>
      </c>
      <c r="L154" s="351"/>
    </row>
    <row r="155" spans="1:12" ht="25.5" x14ac:dyDescent="0.2">
      <c r="A155" s="319">
        <v>152</v>
      </c>
      <c r="B155" s="351" t="s">
        <v>78</v>
      </c>
      <c r="C155" s="319">
        <v>7528714</v>
      </c>
      <c r="D155" s="347" t="s">
        <v>909</v>
      </c>
      <c r="E155" s="350">
        <v>38026</v>
      </c>
      <c r="F155" s="319" t="s">
        <v>866</v>
      </c>
      <c r="G155" s="319" t="s">
        <v>11</v>
      </c>
      <c r="H155" s="319">
        <v>4.88</v>
      </c>
      <c r="I155" s="320" t="s">
        <v>760</v>
      </c>
      <c r="J155" s="319">
        <v>2</v>
      </c>
      <c r="K155" s="320" t="s">
        <v>757</v>
      </c>
      <c r="L155" s="351"/>
    </row>
    <row r="156" spans="1:12" ht="25.5" x14ac:dyDescent="0.2">
      <c r="A156" s="319">
        <v>153</v>
      </c>
      <c r="B156" s="351" t="s">
        <v>78</v>
      </c>
      <c r="C156" s="353">
        <v>52377890</v>
      </c>
      <c r="D156" s="370" t="s">
        <v>910</v>
      </c>
      <c r="E156" s="322">
        <v>42955</v>
      </c>
      <c r="F156" s="319" t="s">
        <v>21</v>
      </c>
      <c r="G156" s="319" t="s">
        <v>10</v>
      </c>
      <c r="H156" s="319">
        <v>4.93</v>
      </c>
      <c r="I156" s="319" t="s">
        <v>772</v>
      </c>
      <c r="J156" s="319">
        <v>2</v>
      </c>
      <c r="K156" s="320" t="s">
        <v>757</v>
      </c>
      <c r="L156" s="351"/>
    </row>
    <row r="157" spans="1:12" ht="25.5" x14ac:dyDescent="0.2">
      <c r="A157" s="354">
        <v>154</v>
      </c>
      <c r="B157" s="355" t="s">
        <v>78</v>
      </c>
      <c r="C157" s="354">
        <v>52079098</v>
      </c>
      <c r="D157" s="356" t="s">
        <v>911</v>
      </c>
      <c r="E157" s="357">
        <v>39660</v>
      </c>
      <c r="F157" s="354" t="s">
        <v>21</v>
      </c>
      <c r="G157" s="354" t="s">
        <v>11</v>
      </c>
      <c r="H157" s="358">
        <v>4.78</v>
      </c>
      <c r="I157" s="358" t="s">
        <v>760</v>
      </c>
      <c r="J157" s="354">
        <v>2</v>
      </c>
      <c r="K157" s="358" t="s">
        <v>768</v>
      </c>
      <c r="L157" s="355" t="s">
        <v>912</v>
      </c>
    </row>
    <row r="158" spans="1:12" ht="25.5" x14ac:dyDescent="0.2">
      <c r="A158" s="319">
        <v>155</v>
      </c>
      <c r="B158" s="351" t="s">
        <v>78</v>
      </c>
      <c r="C158" s="319">
        <v>24805870</v>
      </c>
      <c r="D158" s="347" t="s">
        <v>913</v>
      </c>
      <c r="E158" s="350">
        <v>35828</v>
      </c>
      <c r="F158" s="319" t="s">
        <v>21</v>
      </c>
      <c r="G158" s="319" t="s">
        <v>11</v>
      </c>
      <c r="H158" s="319">
        <v>4.8899999999999997</v>
      </c>
      <c r="I158" s="319" t="s">
        <v>772</v>
      </c>
      <c r="J158" s="319">
        <v>2</v>
      </c>
      <c r="K158" s="320" t="s">
        <v>757</v>
      </c>
      <c r="L158" s="351"/>
    </row>
    <row r="159" spans="1:12" ht="25.5" x14ac:dyDescent="0.2">
      <c r="A159" s="319">
        <v>156</v>
      </c>
      <c r="B159" s="351" t="s">
        <v>78</v>
      </c>
      <c r="C159" s="319">
        <v>41906827</v>
      </c>
      <c r="D159" s="347" t="s">
        <v>914</v>
      </c>
      <c r="E159" s="350">
        <v>35828</v>
      </c>
      <c r="F159" s="319" t="s">
        <v>17</v>
      </c>
      <c r="G159" s="319" t="s">
        <v>10</v>
      </c>
      <c r="H159" s="319">
        <v>4.83</v>
      </c>
      <c r="I159" s="319" t="s">
        <v>772</v>
      </c>
      <c r="J159" s="319">
        <v>2</v>
      </c>
      <c r="K159" s="320" t="s">
        <v>757</v>
      </c>
      <c r="L159" s="351"/>
    </row>
    <row r="160" spans="1:12" ht="25.5" x14ac:dyDescent="0.2">
      <c r="A160" s="319">
        <v>157</v>
      </c>
      <c r="B160" s="351" t="s">
        <v>27</v>
      </c>
      <c r="C160" s="319">
        <v>75079723</v>
      </c>
      <c r="D160" s="347" t="s">
        <v>915</v>
      </c>
      <c r="E160" s="350">
        <v>39664</v>
      </c>
      <c r="F160" s="319" t="s">
        <v>21</v>
      </c>
      <c r="G160" s="319" t="s">
        <v>11</v>
      </c>
      <c r="H160" s="361">
        <v>4.82</v>
      </c>
      <c r="I160" s="319" t="s">
        <v>772</v>
      </c>
      <c r="J160" s="319">
        <v>2</v>
      </c>
      <c r="K160" s="320" t="s">
        <v>757</v>
      </c>
      <c r="L160" s="351"/>
    </row>
    <row r="161" spans="1:12" ht="25.5" x14ac:dyDescent="0.2">
      <c r="A161" s="319">
        <v>158</v>
      </c>
      <c r="B161" s="351" t="s">
        <v>27</v>
      </c>
      <c r="C161" s="348">
        <v>1094882594</v>
      </c>
      <c r="D161" s="349" t="s">
        <v>916</v>
      </c>
      <c r="E161" s="360">
        <v>44963</v>
      </c>
      <c r="F161" s="348" t="s">
        <v>17</v>
      </c>
      <c r="G161" s="319" t="s">
        <v>22</v>
      </c>
      <c r="H161" s="361">
        <v>4.8099999999999996</v>
      </c>
      <c r="I161" s="319" t="s">
        <v>759</v>
      </c>
      <c r="J161" s="319">
        <v>2</v>
      </c>
      <c r="K161" s="320" t="s">
        <v>757</v>
      </c>
      <c r="L161" s="351"/>
    </row>
    <row r="162" spans="1:12" ht="25.5" x14ac:dyDescent="0.2">
      <c r="A162" s="319">
        <v>159</v>
      </c>
      <c r="B162" s="351" t="s">
        <v>27</v>
      </c>
      <c r="C162" s="319">
        <v>7555178</v>
      </c>
      <c r="D162" s="347" t="s">
        <v>379</v>
      </c>
      <c r="E162" s="350">
        <v>39660</v>
      </c>
      <c r="F162" s="319" t="s">
        <v>21</v>
      </c>
      <c r="G162" s="319" t="s">
        <v>10</v>
      </c>
      <c r="H162" s="319">
        <v>4.53</v>
      </c>
      <c r="I162" s="319" t="s">
        <v>764</v>
      </c>
      <c r="J162" s="319">
        <v>2</v>
      </c>
      <c r="K162" s="320" t="s">
        <v>757</v>
      </c>
      <c r="L162" s="351"/>
    </row>
    <row r="163" spans="1:12" ht="25.5" x14ac:dyDescent="0.2">
      <c r="A163" s="319">
        <v>160</v>
      </c>
      <c r="B163" s="351" t="s">
        <v>27</v>
      </c>
      <c r="C163" s="319">
        <v>17655304</v>
      </c>
      <c r="D163" s="347" t="s">
        <v>917</v>
      </c>
      <c r="E163" s="350">
        <v>40947</v>
      </c>
      <c r="F163" s="319" t="s">
        <v>21</v>
      </c>
      <c r="G163" s="319" t="s">
        <v>11</v>
      </c>
      <c r="H163" s="359">
        <v>4.9000000000000004</v>
      </c>
      <c r="I163" s="319" t="s">
        <v>790</v>
      </c>
      <c r="J163" s="319">
        <v>2</v>
      </c>
      <c r="K163" s="320" t="s">
        <v>757</v>
      </c>
      <c r="L163" s="351" t="s">
        <v>918</v>
      </c>
    </row>
    <row r="164" spans="1:12" ht="25.5" x14ac:dyDescent="0.2">
      <c r="A164" s="319">
        <v>161</v>
      </c>
      <c r="B164" s="351" t="s">
        <v>27</v>
      </c>
      <c r="C164" s="319">
        <v>16185584</v>
      </c>
      <c r="D164" s="347" t="s">
        <v>919</v>
      </c>
      <c r="E164" s="350">
        <v>40947</v>
      </c>
      <c r="F164" s="319" t="s">
        <v>17</v>
      </c>
      <c r="G164" s="319" t="s">
        <v>10</v>
      </c>
      <c r="H164" s="361">
        <v>4.8600000000000003</v>
      </c>
      <c r="I164" s="319" t="s">
        <v>763</v>
      </c>
      <c r="J164" s="319">
        <v>2</v>
      </c>
      <c r="K164" s="320" t="s">
        <v>757</v>
      </c>
      <c r="L164" s="351"/>
    </row>
    <row r="165" spans="1:12" ht="25.5" x14ac:dyDescent="0.2">
      <c r="A165" s="319">
        <v>162</v>
      </c>
      <c r="B165" s="351" t="s">
        <v>27</v>
      </c>
      <c r="C165" s="348">
        <v>1094885534</v>
      </c>
      <c r="D165" s="349" t="s">
        <v>920</v>
      </c>
      <c r="E165" s="360">
        <v>44963</v>
      </c>
      <c r="F165" s="319" t="s">
        <v>21</v>
      </c>
      <c r="G165" s="319" t="s">
        <v>22</v>
      </c>
      <c r="H165" s="361">
        <v>4.92</v>
      </c>
      <c r="I165" s="319" t="s">
        <v>759</v>
      </c>
      <c r="J165" s="319">
        <v>2</v>
      </c>
      <c r="K165" s="320" t="s">
        <v>757</v>
      </c>
      <c r="L165" s="351"/>
    </row>
    <row r="166" spans="1:12" x14ac:dyDescent="0.2">
      <c r="A166" s="319">
        <v>163</v>
      </c>
      <c r="B166" s="347" t="s">
        <v>921</v>
      </c>
      <c r="C166" s="319">
        <v>7532303</v>
      </c>
      <c r="D166" s="351" t="s">
        <v>922</v>
      </c>
      <c r="E166" s="350">
        <v>35828</v>
      </c>
      <c r="F166" s="319" t="s">
        <v>17</v>
      </c>
      <c r="G166" s="319" t="s">
        <v>11</v>
      </c>
      <c r="H166" s="319">
        <v>4.8099999999999996</v>
      </c>
      <c r="I166" s="319" t="s">
        <v>772</v>
      </c>
      <c r="J166" s="319">
        <v>2</v>
      </c>
      <c r="K166" s="320" t="s">
        <v>757</v>
      </c>
      <c r="L166" s="351"/>
    </row>
    <row r="167" spans="1:12" x14ac:dyDescent="0.2">
      <c r="A167" s="319">
        <v>164</v>
      </c>
      <c r="B167" s="347" t="s">
        <v>921</v>
      </c>
      <c r="C167" s="319">
        <v>41931649</v>
      </c>
      <c r="D167" s="347" t="s">
        <v>923</v>
      </c>
      <c r="E167" s="350">
        <v>41872</v>
      </c>
      <c r="F167" s="319" t="s">
        <v>21</v>
      </c>
      <c r="G167" s="319" t="s">
        <v>11</v>
      </c>
      <c r="H167" s="319">
        <v>4.96</v>
      </c>
      <c r="I167" s="319" t="s">
        <v>775</v>
      </c>
      <c r="J167" s="319">
        <v>2</v>
      </c>
      <c r="K167" s="320" t="s">
        <v>757</v>
      </c>
      <c r="L167" s="351"/>
    </row>
    <row r="168" spans="1:12" x14ac:dyDescent="0.2">
      <c r="A168" s="319">
        <v>165</v>
      </c>
      <c r="B168" s="347" t="s">
        <v>921</v>
      </c>
      <c r="C168" s="319">
        <v>7554769</v>
      </c>
      <c r="D168" s="347" t="s">
        <v>924</v>
      </c>
      <c r="E168" s="350">
        <v>35326</v>
      </c>
      <c r="F168" s="319" t="s">
        <v>17</v>
      </c>
      <c r="G168" s="319" t="s">
        <v>11</v>
      </c>
      <c r="H168" s="319">
        <v>4.84</v>
      </c>
      <c r="I168" s="319" t="s">
        <v>760</v>
      </c>
      <c r="J168" s="319">
        <v>2</v>
      </c>
      <c r="K168" s="320" t="s">
        <v>757</v>
      </c>
      <c r="L168" s="351"/>
    </row>
    <row r="169" spans="1:12" x14ac:dyDescent="0.2">
      <c r="A169" s="319">
        <v>166</v>
      </c>
      <c r="B169" s="347" t="s">
        <v>921</v>
      </c>
      <c r="C169" s="319">
        <v>7555343</v>
      </c>
      <c r="D169" s="347" t="s">
        <v>925</v>
      </c>
      <c r="E169" s="350">
        <v>34171</v>
      </c>
      <c r="F169" s="319" t="s">
        <v>21</v>
      </c>
      <c r="G169" s="319" t="s">
        <v>11</v>
      </c>
      <c r="H169" s="319">
        <v>4.87</v>
      </c>
      <c r="I169" s="319" t="s">
        <v>760</v>
      </c>
      <c r="J169" s="319">
        <v>2</v>
      </c>
      <c r="K169" s="320" t="s">
        <v>757</v>
      </c>
      <c r="L169" s="351"/>
    </row>
    <row r="170" spans="1:12" x14ac:dyDescent="0.2">
      <c r="A170" s="319">
        <v>167</v>
      </c>
      <c r="B170" s="347" t="s">
        <v>921</v>
      </c>
      <c r="C170" s="319">
        <v>41885800</v>
      </c>
      <c r="D170" s="347" t="s">
        <v>926</v>
      </c>
      <c r="E170" s="350">
        <v>32554</v>
      </c>
      <c r="F170" s="319" t="s">
        <v>17</v>
      </c>
      <c r="G170" s="319" t="s">
        <v>11</v>
      </c>
      <c r="H170" s="319">
        <v>4.92</v>
      </c>
      <c r="I170" s="319" t="s">
        <v>760</v>
      </c>
      <c r="J170" s="319">
        <v>2</v>
      </c>
      <c r="K170" s="320" t="s">
        <v>840</v>
      </c>
      <c r="L170" s="351"/>
    </row>
    <row r="171" spans="1:12" ht="25.5" x14ac:dyDescent="0.2">
      <c r="A171" s="319">
        <v>174</v>
      </c>
      <c r="B171" s="351" t="s">
        <v>927</v>
      </c>
      <c r="C171" s="319">
        <v>41936764</v>
      </c>
      <c r="D171" s="347" t="s">
        <v>389</v>
      </c>
      <c r="E171" s="322">
        <v>41872</v>
      </c>
      <c r="F171" s="319" t="s">
        <v>21</v>
      </c>
      <c r="G171" s="319" t="s">
        <v>11</v>
      </c>
      <c r="H171" s="361">
        <v>4.97</v>
      </c>
      <c r="I171" s="319" t="s">
        <v>775</v>
      </c>
      <c r="J171" s="319">
        <v>2</v>
      </c>
      <c r="K171" s="320" t="s">
        <v>757</v>
      </c>
      <c r="L171" s="351"/>
    </row>
    <row r="172" spans="1:12" ht="25.5" x14ac:dyDescent="0.2">
      <c r="A172" s="319">
        <v>175</v>
      </c>
      <c r="B172" s="351" t="s">
        <v>927</v>
      </c>
      <c r="C172" s="319">
        <v>7561489</v>
      </c>
      <c r="D172" s="347" t="s">
        <v>928</v>
      </c>
      <c r="E172" s="350">
        <v>39664</v>
      </c>
      <c r="F172" s="319" t="s">
        <v>17</v>
      </c>
      <c r="G172" s="319" t="s">
        <v>62</v>
      </c>
      <c r="H172" s="381">
        <v>4.83</v>
      </c>
      <c r="I172" s="319" t="s">
        <v>772</v>
      </c>
      <c r="J172" s="319">
        <v>2</v>
      </c>
      <c r="K172" s="320" t="s">
        <v>757</v>
      </c>
      <c r="L172" s="351"/>
    </row>
    <row r="173" spans="1:12" ht="38.25" x14ac:dyDescent="0.2">
      <c r="A173" s="340">
        <v>176</v>
      </c>
      <c r="B173" s="342" t="s">
        <v>927</v>
      </c>
      <c r="C173" s="340">
        <v>1094911213</v>
      </c>
      <c r="D173" s="341" t="s">
        <v>392</v>
      </c>
      <c r="E173" s="376">
        <v>43864</v>
      </c>
      <c r="F173" s="340" t="s">
        <v>17</v>
      </c>
      <c r="G173" s="340" t="s">
        <v>10</v>
      </c>
      <c r="H173" s="340">
        <v>4.91</v>
      </c>
      <c r="I173" s="340" t="s">
        <v>759</v>
      </c>
      <c r="J173" s="340">
        <v>2</v>
      </c>
      <c r="K173" s="340" t="s">
        <v>757</v>
      </c>
      <c r="L173" s="342" t="s">
        <v>929</v>
      </c>
    </row>
    <row r="174" spans="1:12" ht="25.5" x14ac:dyDescent="0.2">
      <c r="A174" s="319">
        <v>177</v>
      </c>
      <c r="B174" s="351" t="s">
        <v>927</v>
      </c>
      <c r="C174" s="319">
        <v>52105400</v>
      </c>
      <c r="D174" s="347" t="s">
        <v>930</v>
      </c>
      <c r="E174" s="350">
        <v>40947</v>
      </c>
      <c r="F174" s="319" t="s">
        <v>17</v>
      </c>
      <c r="G174" s="319" t="s">
        <v>62</v>
      </c>
      <c r="H174" s="381">
        <v>4.74</v>
      </c>
      <c r="I174" s="319" t="s">
        <v>760</v>
      </c>
      <c r="J174" s="319">
        <v>2</v>
      </c>
      <c r="K174" s="320" t="s">
        <v>757</v>
      </c>
      <c r="L174" s="351"/>
    </row>
    <row r="175" spans="1:12" ht="25.5" x14ac:dyDescent="0.2">
      <c r="A175" s="319">
        <v>178</v>
      </c>
      <c r="B175" s="351" t="s">
        <v>927</v>
      </c>
      <c r="C175" s="319">
        <v>18387759</v>
      </c>
      <c r="D175" s="347" t="s">
        <v>931</v>
      </c>
      <c r="E175" s="350">
        <v>40947</v>
      </c>
      <c r="F175" s="319" t="s">
        <v>17</v>
      </c>
      <c r="G175" s="319" t="s">
        <v>10</v>
      </c>
      <c r="H175" s="381">
        <v>4.93</v>
      </c>
      <c r="I175" s="319" t="s">
        <v>760</v>
      </c>
      <c r="J175" s="319">
        <v>2</v>
      </c>
      <c r="K175" s="320" t="s">
        <v>757</v>
      </c>
      <c r="L175" s="351"/>
    </row>
    <row r="176" spans="1:12" ht="25.5" x14ac:dyDescent="0.2">
      <c r="A176" s="319">
        <v>179</v>
      </c>
      <c r="B176" s="351" t="s">
        <v>927</v>
      </c>
      <c r="C176" s="353">
        <v>1094909209</v>
      </c>
      <c r="D176" s="370" t="s">
        <v>395</v>
      </c>
      <c r="E176" s="350">
        <v>41673</v>
      </c>
      <c r="F176" s="319" t="s">
        <v>17</v>
      </c>
      <c r="G176" s="319" t="s">
        <v>62</v>
      </c>
      <c r="H176" s="381">
        <v>4.8099999999999996</v>
      </c>
      <c r="I176" s="319" t="s">
        <v>760</v>
      </c>
      <c r="J176" s="319">
        <v>2</v>
      </c>
      <c r="K176" s="320" t="s">
        <v>757</v>
      </c>
      <c r="L176" s="351"/>
    </row>
    <row r="177" spans="1:12" ht="25.5" x14ac:dyDescent="0.2">
      <c r="A177" s="319">
        <v>180</v>
      </c>
      <c r="B177" s="351" t="s">
        <v>927</v>
      </c>
      <c r="C177" s="319">
        <v>10122357</v>
      </c>
      <c r="D177" s="347" t="s">
        <v>932</v>
      </c>
      <c r="E177" s="350">
        <v>38040</v>
      </c>
      <c r="F177" s="319" t="s">
        <v>17</v>
      </c>
      <c r="G177" s="319" t="s">
        <v>22</v>
      </c>
      <c r="H177" s="320">
        <v>4.93</v>
      </c>
      <c r="I177" s="319" t="s">
        <v>775</v>
      </c>
      <c r="J177" s="319">
        <v>2</v>
      </c>
      <c r="K177" s="320" t="s">
        <v>757</v>
      </c>
      <c r="L177" s="351"/>
    </row>
    <row r="178" spans="1:12" ht="25.5" x14ac:dyDescent="0.2">
      <c r="A178" s="319">
        <v>181</v>
      </c>
      <c r="B178" s="351" t="s">
        <v>927</v>
      </c>
      <c r="C178" s="348">
        <v>41959302</v>
      </c>
      <c r="D178" s="349" t="s">
        <v>933</v>
      </c>
      <c r="E178" s="360">
        <v>44963</v>
      </c>
      <c r="F178" s="348" t="s">
        <v>21</v>
      </c>
      <c r="G178" s="319" t="s">
        <v>22</v>
      </c>
      <c r="H178" s="361">
        <v>4.84</v>
      </c>
      <c r="I178" s="319" t="s">
        <v>759</v>
      </c>
      <c r="J178" s="319">
        <v>2</v>
      </c>
      <c r="K178" s="320" t="s">
        <v>757</v>
      </c>
      <c r="L178" s="351"/>
    </row>
    <row r="179" spans="1:12" ht="25.5" x14ac:dyDescent="0.2">
      <c r="A179" s="319">
        <v>182</v>
      </c>
      <c r="B179" s="351" t="s">
        <v>927</v>
      </c>
      <c r="C179" s="348">
        <v>1102042502</v>
      </c>
      <c r="D179" s="349" t="s">
        <v>934</v>
      </c>
      <c r="E179" s="360">
        <v>44963</v>
      </c>
      <c r="F179" s="319" t="s">
        <v>21</v>
      </c>
      <c r="G179" s="319" t="s">
        <v>22</v>
      </c>
      <c r="H179" s="361">
        <v>4.99</v>
      </c>
      <c r="I179" s="319" t="s">
        <v>759</v>
      </c>
      <c r="J179" s="319">
        <v>2</v>
      </c>
      <c r="K179" s="320" t="s">
        <v>757</v>
      </c>
      <c r="L179" s="351"/>
    </row>
    <row r="180" spans="1:12" ht="25.5" x14ac:dyDescent="0.2">
      <c r="A180" s="319">
        <v>183</v>
      </c>
      <c r="B180" s="351" t="s">
        <v>927</v>
      </c>
      <c r="C180" s="353">
        <v>41937649</v>
      </c>
      <c r="D180" s="347" t="s">
        <v>399</v>
      </c>
      <c r="E180" s="322">
        <v>42955</v>
      </c>
      <c r="F180" s="319" t="s">
        <v>17</v>
      </c>
      <c r="G180" s="319" t="s">
        <v>22</v>
      </c>
      <c r="H180" s="320">
        <v>4.97</v>
      </c>
      <c r="I180" s="319" t="s">
        <v>775</v>
      </c>
      <c r="J180" s="319">
        <v>2</v>
      </c>
      <c r="K180" s="320" t="s">
        <v>757</v>
      </c>
      <c r="L180" s="351"/>
    </row>
    <row r="181" spans="1:12" ht="25.5" x14ac:dyDescent="0.2">
      <c r="A181" s="354">
        <v>184</v>
      </c>
      <c r="B181" s="355" t="s">
        <v>927</v>
      </c>
      <c r="C181" s="379">
        <v>89000820</v>
      </c>
      <c r="D181" s="380" t="s">
        <v>935</v>
      </c>
      <c r="E181" s="362">
        <v>41872</v>
      </c>
      <c r="F181" s="354" t="s">
        <v>17</v>
      </c>
      <c r="G181" s="354" t="s">
        <v>22</v>
      </c>
      <c r="H181" s="354">
        <v>4.91</v>
      </c>
      <c r="I181" s="354" t="s">
        <v>760</v>
      </c>
      <c r="J181" s="354">
        <v>2</v>
      </c>
      <c r="K181" s="358" t="s">
        <v>768</v>
      </c>
      <c r="L181" s="355" t="s">
        <v>402</v>
      </c>
    </row>
    <row r="182" spans="1:12" ht="25.5" x14ac:dyDescent="0.2">
      <c r="A182" s="319">
        <v>185</v>
      </c>
      <c r="B182" s="351" t="s">
        <v>927</v>
      </c>
      <c r="C182" s="319">
        <v>42007084</v>
      </c>
      <c r="D182" s="347" t="s">
        <v>936</v>
      </c>
      <c r="E182" s="350">
        <v>37165</v>
      </c>
      <c r="F182" s="319" t="s">
        <v>21</v>
      </c>
      <c r="G182" s="319" t="s">
        <v>11</v>
      </c>
      <c r="H182" s="381">
        <v>4.8600000000000003</v>
      </c>
      <c r="I182" s="319" t="s">
        <v>760</v>
      </c>
      <c r="J182" s="319">
        <v>2</v>
      </c>
      <c r="K182" s="320" t="s">
        <v>757</v>
      </c>
      <c r="L182" s="351"/>
    </row>
    <row r="183" spans="1:12" ht="25.5" x14ac:dyDescent="0.2">
      <c r="A183" s="319">
        <v>186</v>
      </c>
      <c r="B183" s="351" t="s">
        <v>927</v>
      </c>
      <c r="C183" s="348">
        <v>1094880877</v>
      </c>
      <c r="D183" s="349" t="s">
        <v>937</v>
      </c>
      <c r="E183" s="360">
        <v>44963</v>
      </c>
      <c r="F183" s="348" t="s">
        <v>17</v>
      </c>
      <c r="G183" s="319" t="s">
        <v>22</v>
      </c>
      <c r="H183" s="319">
        <v>4.79</v>
      </c>
      <c r="I183" s="319" t="s">
        <v>772</v>
      </c>
      <c r="J183" s="319">
        <v>2</v>
      </c>
      <c r="K183" s="320" t="s">
        <v>757</v>
      </c>
      <c r="L183" s="351"/>
    </row>
    <row r="184" spans="1:12" ht="25.5" x14ac:dyDescent="0.2">
      <c r="A184" s="319">
        <v>168</v>
      </c>
      <c r="B184" s="351" t="s">
        <v>938</v>
      </c>
      <c r="C184" s="319">
        <v>94501347</v>
      </c>
      <c r="D184" s="370" t="s">
        <v>405</v>
      </c>
      <c r="E184" s="350">
        <v>41673</v>
      </c>
      <c r="F184" s="319" t="s">
        <v>21</v>
      </c>
      <c r="G184" s="319" t="s">
        <v>11</v>
      </c>
      <c r="H184" s="319">
        <v>4.99</v>
      </c>
      <c r="I184" s="319" t="s">
        <v>775</v>
      </c>
      <c r="J184" s="319">
        <v>2</v>
      </c>
      <c r="K184" s="320" t="s">
        <v>757</v>
      </c>
      <c r="L184" s="347"/>
    </row>
    <row r="185" spans="1:12" ht="25.5" x14ac:dyDescent="0.2">
      <c r="A185" s="319">
        <v>169</v>
      </c>
      <c r="B185" s="351" t="s">
        <v>938</v>
      </c>
      <c r="C185" s="319">
        <v>70121452</v>
      </c>
      <c r="D185" s="347" t="s">
        <v>939</v>
      </c>
      <c r="E185" s="350">
        <v>38376</v>
      </c>
      <c r="F185" s="319" t="s">
        <v>17</v>
      </c>
      <c r="G185" s="319" t="s">
        <v>22</v>
      </c>
      <c r="H185" s="359">
        <v>4.8099999999999996</v>
      </c>
      <c r="I185" s="319" t="s">
        <v>772</v>
      </c>
      <c r="J185" s="319">
        <v>2</v>
      </c>
      <c r="K185" s="320" t="s">
        <v>757</v>
      </c>
      <c r="L185" s="351"/>
    </row>
    <row r="186" spans="1:12" ht="25.5" x14ac:dyDescent="0.2">
      <c r="A186" s="319">
        <v>170</v>
      </c>
      <c r="B186" s="351" t="s">
        <v>938</v>
      </c>
      <c r="C186" s="319">
        <v>8152735</v>
      </c>
      <c r="D186" s="347" t="s">
        <v>940</v>
      </c>
      <c r="E186" s="350">
        <v>40203</v>
      </c>
      <c r="F186" s="319" t="s">
        <v>21</v>
      </c>
      <c r="G186" s="319" t="s">
        <v>10</v>
      </c>
      <c r="H186" s="359">
        <v>4.96</v>
      </c>
      <c r="I186" s="319" t="s">
        <v>760</v>
      </c>
      <c r="J186" s="319">
        <v>2</v>
      </c>
      <c r="K186" s="320" t="s">
        <v>757</v>
      </c>
      <c r="L186" s="351"/>
    </row>
    <row r="187" spans="1:12" ht="25.5" x14ac:dyDescent="0.2">
      <c r="A187" s="319">
        <v>171</v>
      </c>
      <c r="B187" s="351" t="s">
        <v>938</v>
      </c>
      <c r="C187" s="353">
        <v>9739108</v>
      </c>
      <c r="D187" s="370" t="s">
        <v>941</v>
      </c>
      <c r="E187" s="350">
        <v>41673</v>
      </c>
      <c r="F187" s="319" t="s">
        <v>21</v>
      </c>
      <c r="G187" s="319" t="s">
        <v>10</v>
      </c>
      <c r="H187" s="359">
        <v>4.9000000000000004</v>
      </c>
      <c r="I187" s="319" t="s">
        <v>760</v>
      </c>
      <c r="J187" s="319">
        <v>2</v>
      </c>
      <c r="K187" s="320" t="s">
        <v>757</v>
      </c>
      <c r="L187" s="347"/>
    </row>
    <row r="188" spans="1:12" ht="25.5" x14ac:dyDescent="0.2">
      <c r="A188" s="319">
        <v>172</v>
      </c>
      <c r="B188" s="351" t="s">
        <v>938</v>
      </c>
      <c r="C188" s="348">
        <v>41943583</v>
      </c>
      <c r="D188" s="349" t="s">
        <v>942</v>
      </c>
      <c r="E188" s="360">
        <v>44963</v>
      </c>
      <c r="F188" s="348" t="s">
        <v>21</v>
      </c>
      <c r="G188" s="319" t="s">
        <v>22</v>
      </c>
      <c r="H188" s="319">
        <v>4.9400000000000004</v>
      </c>
      <c r="I188" s="319" t="s">
        <v>759</v>
      </c>
      <c r="J188" s="319">
        <v>2</v>
      </c>
      <c r="K188" s="320" t="s">
        <v>757</v>
      </c>
      <c r="L188" s="351"/>
    </row>
    <row r="189" spans="1:12" ht="25.5" x14ac:dyDescent="0.2">
      <c r="A189" s="319">
        <v>173</v>
      </c>
      <c r="B189" s="351" t="s">
        <v>938</v>
      </c>
      <c r="C189" s="353">
        <v>9772119</v>
      </c>
      <c r="D189" s="347" t="s">
        <v>943</v>
      </c>
      <c r="E189" s="322">
        <v>42955</v>
      </c>
      <c r="F189" s="319" t="s">
        <v>17</v>
      </c>
      <c r="G189" s="319" t="s">
        <v>10</v>
      </c>
      <c r="H189" s="319">
        <v>4.9800000000000004</v>
      </c>
      <c r="I189" s="319" t="s">
        <v>772</v>
      </c>
      <c r="J189" s="319">
        <v>2</v>
      </c>
      <c r="K189" s="320" t="s">
        <v>757</v>
      </c>
      <c r="L189" s="351"/>
    </row>
    <row r="190" spans="1:12" x14ac:dyDescent="0.2">
      <c r="A190" s="319">
        <v>187</v>
      </c>
      <c r="B190" s="351" t="s">
        <v>944</v>
      </c>
      <c r="C190" s="320">
        <v>18390797</v>
      </c>
      <c r="D190" s="351" t="s">
        <v>412</v>
      </c>
      <c r="E190" s="322">
        <v>38875</v>
      </c>
      <c r="F190" s="320" t="s">
        <v>17</v>
      </c>
      <c r="G190" s="320" t="s">
        <v>414</v>
      </c>
      <c r="H190" s="320">
        <v>4.74</v>
      </c>
      <c r="I190" s="320" t="s">
        <v>775</v>
      </c>
      <c r="J190" s="319">
        <v>2</v>
      </c>
      <c r="K190" s="320" t="s">
        <v>757</v>
      </c>
      <c r="L190" s="347"/>
    </row>
    <row r="191" spans="1:12" x14ac:dyDescent="0.2">
      <c r="A191" s="319">
        <v>188</v>
      </c>
      <c r="B191" s="347" t="s">
        <v>944</v>
      </c>
      <c r="C191" s="319">
        <v>4376943</v>
      </c>
      <c r="D191" s="347" t="s">
        <v>945</v>
      </c>
      <c r="E191" s="350">
        <v>38027</v>
      </c>
      <c r="F191" s="319" t="s">
        <v>21</v>
      </c>
      <c r="G191" s="319" t="s">
        <v>11</v>
      </c>
      <c r="H191" s="361">
        <v>4.9800000000000004</v>
      </c>
      <c r="I191" s="319" t="s">
        <v>759</v>
      </c>
      <c r="J191" s="319">
        <v>2</v>
      </c>
      <c r="K191" s="320" t="s">
        <v>757</v>
      </c>
      <c r="L191" s="351"/>
    </row>
    <row r="192" spans="1:12" x14ac:dyDescent="0.2">
      <c r="A192" s="319">
        <v>189</v>
      </c>
      <c r="B192" s="347" t="s">
        <v>944</v>
      </c>
      <c r="C192" s="319">
        <v>14241527</v>
      </c>
      <c r="D192" s="347" t="s">
        <v>946</v>
      </c>
      <c r="E192" s="350">
        <v>37698</v>
      </c>
      <c r="F192" s="319" t="s">
        <v>21</v>
      </c>
      <c r="G192" s="319" t="s">
        <v>11</v>
      </c>
      <c r="H192" s="361">
        <v>4.97</v>
      </c>
      <c r="I192" s="319" t="s">
        <v>760</v>
      </c>
      <c r="J192" s="319">
        <v>2</v>
      </c>
      <c r="K192" s="320" t="s">
        <v>757</v>
      </c>
      <c r="L192" s="347"/>
    </row>
    <row r="193" spans="1:12" x14ac:dyDescent="0.2">
      <c r="A193" s="319">
        <v>190</v>
      </c>
      <c r="B193" s="347" t="s">
        <v>944</v>
      </c>
      <c r="C193" s="319">
        <v>4374317</v>
      </c>
      <c r="D193" s="347" t="s">
        <v>947</v>
      </c>
      <c r="E193" s="350">
        <v>35828</v>
      </c>
      <c r="F193" s="319" t="s">
        <v>17</v>
      </c>
      <c r="G193" s="319" t="s">
        <v>22</v>
      </c>
      <c r="H193" s="361">
        <v>4.24</v>
      </c>
      <c r="I193" s="319" t="s">
        <v>760</v>
      </c>
      <c r="J193" s="319">
        <v>1.6</v>
      </c>
      <c r="K193" s="320" t="s">
        <v>757</v>
      </c>
      <c r="L193" s="351"/>
    </row>
    <row r="194" spans="1:12" ht="25.5" x14ac:dyDescent="0.2">
      <c r="A194" s="319">
        <v>191</v>
      </c>
      <c r="B194" s="347" t="s">
        <v>944</v>
      </c>
      <c r="C194" s="319">
        <v>14231147</v>
      </c>
      <c r="D194" s="347" t="s">
        <v>948</v>
      </c>
      <c r="E194" s="350">
        <v>34176</v>
      </c>
      <c r="F194" s="319" t="s">
        <v>21</v>
      </c>
      <c r="G194" s="319" t="s">
        <v>11</v>
      </c>
      <c r="H194" s="319">
        <v>4.58</v>
      </c>
      <c r="I194" s="319" t="s">
        <v>760</v>
      </c>
      <c r="J194" s="319">
        <v>2</v>
      </c>
      <c r="K194" s="320" t="s">
        <v>757</v>
      </c>
      <c r="L194" s="351" t="s">
        <v>949</v>
      </c>
    </row>
    <row r="195" spans="1:12" x14ac:dyDescent="0.2">
      <c r="A195" s="319">
        <v>192</v>
      </c>
      <c r="B195" s="347" t="s">
        <v>944</v>
      </c>
      <c r="C195" s="319">
        <v>7520464</v>
      </c>
      <c r="D195" s="347" t="s">
        <v>420</v>
      </c>
      <c r="E195" s="350">
        <v>27668</v>
      </c>
      <c r="F195" s="319" t="s">
        <v>17</v>
      </c>
      <c r="G195" s="319" t="s">
        <v>11</v>
      </c>
      <c r="H195" s="361">
        <v>4.7</v>
      </c>
      <c r="I195" s="319" t="s">
        <v>764</v>
      </c>
      <c r="J195" s="319">
        <v>2</v>
      </c>
      <c r="K195" s="320" t="s">
        <v>757</v>
      </c>
      <c r="L195" s="382"/>
    </row>
    <row r="196" spans="1:12" x14ac:dyDescent="0.2">
      <c r="A196" s="365">
        <v>193</v>
      </c>
      <c r="B196" s="367" t="s">
        <v>944</v>
      </c>
      <c r="C196" s="365">
        <v>41942473</v>
      </c>
      <c r="D196" s="367" t="s">
        <v>421</v>
      </c>
      <c r="E196" s="374">
        <v>41872</v>
      </c>
      <c r="F196" s="365" t="s">
        <v>21</v>
      </c>
      <c r="G196" s="365" t="s">
        <v>10</v>
      </c>
      <c r="H196" s="365">
        <v>4.9400000000000004</v>
      </c>
      <c r="I196" s="369" t="s">
        <v>772</v>
      </c>
      <c r="J196" s="365">
        <v>2</v>
      </c>
      <c r="K196" s="369" t="s">
        <v>757</v>
      </c>
      <c r="L196" s="366" t="s">
        <v>791</v>
      </c>
    </row>
    <row r="197" spans="1:12" x14ac:dyDescent="0.2">
      <c r="A197" s="319">
        <v>194</v>
      </c>
      <c r="B197" s="347" t="s">
        <v>944</v>
      </c>
      <c r="C197" s="319">
        <v>25153622</v>
      </c>
      <c r="D197" s="347" t="s">
        <v>950</v>
      </c>
      <c r="E197" s="350">
        <v>29983</v>
      </c>
      <c r="F197" s="319" t="s">
        <v>17</v>
      </c>
      <c r="G197" s="319" t="s">
        <v>11</v>
      </c>
      <c r="H197" s="361">
        <v>4.6500000000000004</v>
      </c>
      <c r="I197" s="319" t="s">
        <v>760</v>
      </c>
      <c r="J197" s="319">
        <v>2</v>
      </c>
      <c r="K197" s="320" t="s">
        <v>757</v>
      </c>
      <c r="L197" s="351"/>
    </row>
    <row r="198" spans="1:12" x14ac:dyDescent="0.2">
      <c r="A198" s="319">
        <v>195</v>
      </c>
      <c r="B198" s="347" t="s">
        <v>944</v>
      </c>
      <c r="C198" s="319">
        <v>18397252</v>
      </c>
      <c r="D198" s="347" t="s">
        <v>951</v>
      </c>
      <c r="E198" s="350">
        <v>39660</v>
      </c>
      <c r="F198" s="319" t="s">
        <v>21</v>
      </c>
      <c r="G198" s="319" t="s">
        <v>10</v>
      </c>
      <c r="H198" s="319">
        <v>4.63</v>
      </c>
      <c r="I198" s="319" t="s">
        <v>763</v>
      </c>
      <c r="J198" s="319">
        <v>2</v>
      </c>
      <c r="K198" s="320" t="s">
        <v>757</v>
      </c>
      <c r="L198" s="351"/>
    </row>
    <row r="199" spans="1:12" ht="63.75" x14ac:dyDescent="0.2">
      <c r="A199" s="340">
        <v>196</v>
      </c>
      <c r="B199" s="341" t="s">
        <v>944</v>
      </c>
      <c r="C199" s="340">
        <v>89005354</v>
      </c>
      <c r="D199" s="341" t="s">
        <v>952</v>
      </c>
      <c r="E199" s="343">
        <v>41872</v>
      </c>
      <c r="F199" s="340" t="s">
        <v>17</v>
      </c>
      <c r="G199" s="340" t="s">
        <v>10</v>
      </c>
      <c r="H199" s="378">
        <v>5</v>
      </c>
      <c r="I199" s="340" t="s">
        <v>790</v>
      </c>
      <c r="J199" s="340">
        <v>2</v>
      </c>
      <c r="K199" s="344" t="s">
        <v>757</v>
      </c>
      <c r="L199" s="342" t="s">
        <v>953</v>
      </c>
    </row>
    <row r="200" spans="1:12" x14ac:dyDescent="0.2">
      <c r="A200" s="319">
        <v>197</v>
      </c>
      <c r="B200" s="347" t="s">
        <v>944</v>
      </c>
      <c r="C200" s="319">
        <v>33215449</v>
      </c>
      <c r="D200" s="347" t="s">
        <v>954</v>
      </c>
      <c r="E200" s="350">
        <v>40947</v>
      </c>
      <c r="F200" s="319" t="s">
        <v>17</v>
      </c>
      <c r="G200" s="319" t="s">
        <v>11</v>
      </c>
      <c r="H200" s="361">
        <v>4.8600000000000003</v>
      </c>
      <c r="I200" s="319" t="s">
        <v>760</v>
      </c>
      <c r="J200" s="319">
        <v>2</v>
      </c>
      <c r="K200" s="320" t="s">
        <v>757</v>
      </c>
      <c r="L200" s="351"/>
    </row>
    <row r="201" spans="1:12" x14ac:dyDescent="0.2">
      <c r="A201" s="319">
        <v>198</v>
      </c>
      <c r="B201" s="347" t="s">
        <v>944</v>
      </c>
      <c r="C201" s="319">
        <v>41939761</v>
      </c>
      <c r="D201" s="347" t="s">
        <v>426</v>
      </c>
      <c r="E201" s="350">
        <v>40203</v>
      </c>
      <c r="F201" s="319" t="s">
        <v>21</v>
      </c>
      <c r="G201" s="319" t="s">
        <v>10</v>
      </c>
      <c r="H201" s="319">
        <v>4.9800000000000004</v>
      </c>
      <c r="I201" s="319" t="s">
        <v>775</v>
      </c>
      <c r="J201" s="319">
        <v>2</v>
      </c>
      <c r="K201" s="320" t="s">
        <v>757</v>
      </c>
      <c r="L201" s="351"/>
    </row>
    <row r="202" spans="1:12" x14ac:dyDescent="0.2">
      <c r="A202" s="319">
        <v>199</v>
      </c>
      <c r="B202" s="347" t="s">
        <v>944</v>
      </c>
      <c r="C202" s="319">
        <v>24988906</v>
      </c>
      <c r="D202" s="347" t="s">
        <v>955</v>
      </c>
      <c r="E202" s="350">
        <v>34024</v>
      </c>
      <c r="F202" s="319" t="s">
        <v>21</v>
      </c>
      <c r="G202" s="319" t="s">
        <v>11</v>
      </c>
      <c r="H202" s="361">
        <v>4.84</v>
      </c>
      <c r="I202" s="319" t="s">
        <v>763</v>
      </c>
      <c r="J202" s="319">
        <v>2</v>
      </c>
      <c r="K202" s="320" t="s">
        <v>757</v>
      </c>
      <c r="L202" s="351"/>
    </row>
    <row r="203" spans="1:12" x14ac:dyDescent="0.2">
      <c r="A203" s="319">
        <v>200</v>
      </c>
      <c r="B203" s="347" t="s">
        <v>944</v>
      </c>
      <c r="C203" s="319">
        <v>18492637</v>
      </c>
      <c r="D203" s="347" t="s">
        <v>428</v>
      </c>
      <c r="E203" s="322">
        <v>41872</v>
      </c>
      <c r="F203" s="319" t="s">
        <v>21</v>
      </c>
      <c r="G203" s="319" t="s">
        <v>11</v>
      </c>
      <c r="H203" s="361">
        <v>4.9000000000000004</v>
      </c>
      <c r="I203" s="319" t="s">
        <v>760</v>
      </c>
      <c r="J203" s="319">
        <v>2</v>
      </c>
      <c r="K203" s="320" t="s">
        <v>757</v>
      </c>
      <c r="L203" s="351"/>
    </row>
    <row r="204" spans="1:12" x14ac:dyDescent="0.2">
      <c r="A204" s="319">
        <v>201</v>
      </c>
      <c r="B204" s="347" t="s">
        <v>956</v>
      </c>
      <c r="C204" s="319">
        <v>7552224</v>
      </c>
      <c r="D204" s="347" t="s">
        <v>957</v>
      </c>
      <c r="E204" s="350">
        <v>40203</v>
      </c>
      <c r="F204" s="319" t="s">
        <v>242</v>
      </c>
      <c r="G204" s="319" t="s">
        <v>22</v>
      </c>
      <c r="H204" s="319">
        <v>4.74</v>
      </c>
      <c r="I204" s="319" t="s">
        <v>760</v>
      </c>
      <c r="J204" s="319">
        <v>2</v>
      </c>
      <c r="K204" s="320" t="s">
        <v>757</v>
      </c>
      <c r="L204" s="351"/>
    </row>
    <row r="205" spans="1:12" x14ac:dyDescent="0.2">
      <c r="A205" s="319">
        <v>202</v>
      </c>
      <c r="B205" s="347" t="s">
        <v>53</v>
      </c>
      <c r="C205" s="319">
        <v>39789083</v>
      </c>
      <c r="D205" s="347" t="s">
        <v>431</v>
      </c>
      <c r="E205" s="350">
        <v>40203</v>
      </c>
      <c r="F205" s="319" t="s">
        <v>242</v>
      </c>
      <c r="G205" s="319" t="s">
        <v>22</v>
      </c>
      <c r="H205" s="319">
        <v>4.9800000000000004</v>
      </c>
      <c r="I205" s="319" t="s">
        <v>764</v>
      </c>
      <c r="J205" s="319">
        <v>2</v>
      </c>
      <c r="K205" s="320" t="s">
        <v>757</v>
      </c>
      <c r="L205" s="351"/>
    </row>
    <row r="206" spans="1:12" x14ac:dyDescent="0.2">
      <c r="A206" s="319">
        <v>203</v>
      </c>
      <c r="B206" s="351" t="s">
        <v>958</v>
      </c>
      <c r="C206" s="320">
        <v>7554191</v>
      </c>
      <c r="D206" s="351" t="s">
        <v>432</v>
      </c>
      <c r="E206" s="322">
        <v>34851</v>
      </c>
      <c r="F206" s="320" t="s">
        <v>21</v>
      </c>
      <c r="G206" s="320" t="s">
        <v>11</v>
      </c>
      <c r="H206" s="319">
        <v>4.8899999999999997</v>
      </c>
      <c r="I206" s="320" t="s">
        <v>775</v>
      </c>
      <c r="J206" s="319">
        <v>2</v>
      </c>
      <c r="K206" s="320" t="s">
        <v>757</v>
      </c>
      <c r="L206" s="351"/>
    </row>
    <row r="207" spans="1:12" x14ac:dyDescent="0.2">
      <c r="A207" s="319">
        <v>204</v>
      </c>
      <c r="B207" s="347" t="s">
        <v>956</v>
      </c>
      <c r="C207" s="319">
        <v>71600566</v>
      </c>
      <c r="D207" s="347" t="s">
        <v>959</v>
      </c>
      <c r="E207" s="350">
        <v>34974</v>
      </c>
      <c r="F207" s="319" t="s">
        <v>17</v>
      </c>
      <c r="G207" s="319" t="s">
        <v>22</v>
      </c>
      <c r="H207" s="319">
        <v>4.92</v>
      </c>
      <c r="I207" s="319" t="s">
        <v>772</v>
      </c>
      <c r="J207" s="319">
        <v>2</v>
      </c>
      <c r="K207" s="320" t="s">
        <v>757</v>
      </c>
      <c r="L207" s="351"/>
    </row>
    <row r="208" spans="1:12" x14ac:dyDescent="0.2">
      <c r="A208" s="319">
        <v>205</v>
      </c>
      <c r="B208" s="347" t="s">
        <v>956</v>
      </c>
      <c r="C208" s="319">
        <v>7544368</v>
      </c>
      <c r="D208" s="347" t="s">
        <v>960</v>
      </c>
      <c r="E208" s="350">
        <v>34366</v>
      </c>
      <c r="F208" s="319" t="s">
        <v>17</v>
      </c>
      <c r="G208" s="319" t="s">
        <v>11</v>
      </c>
      <c r="H208" s="319">
        <v>4.8499999999999996</v>
      </c>
      <c r="I208" s="319" t="s">
        <v>775</v>
      </c>
      <c r="J208" s="319">
        <v>2</v>
      </c>
      <c r="K208" s="320" t="s">
        <v>757</v>
      </c>
      <c r="L208" s="351"/>
    </row>
    <row r="209" spans="1:12" x14ac:dyDescent="0.2">
      <c r="A209" s="319">
        <v>206</v>
      </c>
      <c r="B209" s="347" t="s">
        <v>956</v>
      </c>
      <c r="C209" s="319">
        <v>41941200</v>
      </c>
      <c r="D209" s="347" t="s">
        <v>435</v>
      </c>
      <c r="E209" s="350">
        <v>40392</v>
      </c>
      <c r="F209" s="319" t="s">
        <v>21</v>
      </c>
      <c r="G209" s="319" t="s">
        <v>22</v>
      </c>
      <c r="H209" s="319">
        <v>4.9800000000000004</v>
      </c>
      <c r="I209" s="319" t="s">
        <v>775</v>
      </c>
      <c r="J209" s="319">
        <v>2</v>
      </c>
      <c r="K209" s="320" t="s">
        <v>757</v>
      </c>
      <c r="L209" s="351"/>
    </row>
    <row r="210" spans="1:12" x14ac:dyDescent="0.2">
      <c r="A210" s="319">
        <v>207</v>
      </c>
      <c r="B210" s="347" t="s">
        <v>958</v>
      </c>
      <c r="C210" s="319">
        <v>1272863</v>
      </c>
      <c r="D210" s="347" t="s">
        <v>436</v>
      </c>
      <c r="E210" s="350">
        <v>40203</v>
      </c>
      <c r="F210" s="319" t="s">
        <v>17</v>
      </c>
      <c r="G210" s="319" t="s">
        <v>22</v>
      </c>
      <c r="H210" s="319">
        <v>4.54</v>
      </c>
      <c r="I210" s="319" t="s">
        <v>775</v>
      </c>
      <c r="J210" s="319">
        <v>2</v>
      </c>
      <c r="K210" s="320" t="s">
        <v>757</v>
      </c>
      <c r="L210" s="351"/>
    </row>
    <row r="211" spans="1:12" x14ac:dyDescent="0.2">
      <c r="A211" s="319">
        <v>208</v>
      </c>
      <c r="B211" s="347" t="s">
        <v>956</v>
      </c>
      <c r="C211" s="319">
        <v>7547521</v>
      </c>
      <c r="D211" s="347" t="s">
        <v>961</v>
      </c>
      <c r="E211" s="350">
        <v>33835</v>
      </c>
      <c r="F211" s="319" t="s">
        <v>242</v>
      </c>
      <c r="G211" s="319" t="s">
        <v>62</v>
      </c>
      <c r="H211" s="319">
        <v>4.75</v>
      </c>
      <c r="I211" s="319" t="s">
        <v>759</v>
      </c>
      <c r="J211" s="319">
        <v>2</v>
      </c>
      <c r="K211" s="320" t="s">
        <v>757</v>
      </c>
      <c r="L211" s="351"/>
    </row>
    <row r="212" spans="1:12" x14ac:dyDescent="0.2">
      <c r="A212" s="319">
        <v>209</v>
      </c>
      <c r="B212" s="347" t="s">
        <v>53</v>
      </c>
      <c r="C212" s="319">
        <v>7549257</v>
      </c>
      <c r="D212" s="347" t="s">
        <v>962</v>
      </c>
      <c r="E212" s="350">
        <v>36789</v>
      </c>
      <c r="F212" s="319" t="s">
        <v>21</v>
      </c>
      <c r="G212" s="319" t="s">
        <v>11</v>
      </c>
      <c r="H212" s="319">
        <v>4.87</v>
      </c>
      <c r="I212" s="319" t="s">
        <v>772</v>
      </c>
      <c r="J212" s="319">
        <v>2</v>
      </c>
      <c r="K212" s="320" t="s">
        <v>757</v>
      </c>
      <c r="L212" s="351"/>
    </row>
    <row r="213" spans="1:12" ht="25.5" x14ac:dyDescent="0.2">
      <c r="A213" s="354">
        <v>210</v>
      </c>
      <c r="B213" s="356" t="s">
        <v>53</v>
      </c>
      <c r="C213" s="354">
        <v>24488950</v>
      </c>
      <c r="D213" s="356" t="s">
        <v>963</v>
      </c>
      <c r="E213" s="357">
        <v>29983</v>
      </c>
      <c r="F213" s="354" t="s">
        <v>17</v>
      </c>
      <c r="G213" s="354" t="s">
        <v>11</v>
      </c>
      <c r="H213" s="354">
        <v>4.18</v>
      </c>
      <c r="I213" s="354" t="s">
        <v>760</v>
      </c>
      <c r="J213" s="354">
        <v>1.6</v>
      </c>
      <c r="K213" s="358" t="s">
        <v>768</v>
      </c>
      <c r="L213" s="355" t="s">
        <v>964</v>
      </c>
    </row>
    <row r="214" spans="1:12" x14ac:dyDescent="0.2">
      <c r="A214" s="319">
        <v>211</v>
      </c>
      <c r="B214" s="347" t="s">
        <v>53</v>
      </c>
      <c r="C214" s="319">
        <v>31287177</v>
      </c>
      <c r="D214" s="347" t="s">
        <v>965</v>
      </c>
      <c r="E214" s="350">
        <v>31895</v>
      </c>
      <c r="F214" s="319" t="s">
        <v>21</v>
      </c>
      <c r="G214" s="319" t="s">
        <v>11</v>
      </c>
      <c r="H214" s="319">
        <v>4.87</v>
      </c>
      <c r="I214" s="319" t="s">
        <v>772</v>
      </c>
      <c r="J214" s="319">
        <v>2</v>
      </c>
      <c r="K214" s="320" t="s">
        <v>757</v>
      </c>
      <c r="L214" s="351"/>
    </row>
    <row r="215" spans="1:12" x14ac:dyDescent="0.2">
      <c r="A215" s="319">
        <v>212</v>
      </c>
      <c r="B215" s="347" t="s">
        <v>53</v>
      </c>
      <c r="C215" s="319">
        <v>7535884</v>
      </c>
      <c r="D215" s="347" t="s">
        <v>966</v>
      </c>
      <c r="E215" s="350">
        <v>32545</v>
      </c>
      <c r="F215" s="319" t="s">
        <v>442</v>
      </c>
      <c r="G215" s="319" t="s">
        <v>22</v>
      </c>
      <c r="H215" s="319">
        <v>4.67</v>
      </c>
      <c r="I215" s="319" t="s">
        <v>775</v>
      </c>
      <c r="J215" s="319">
        <v>2</v>
      </c>
      <c r="K215" s="320" t="s">
        <v>757</v>
      </c>
      <c r="L215" s="351"/>
    </row>
    <row r="216" spans="1:12" x14ac:dyDescent="0.2">
      <c r="A216" s="319">
        <v>213</v>
      </c>
      <c r="B216" s="347" t="s">
        <v>958</v>
      </c>
      <c r="C216" s="319">
        <v>41893527</v>
      </c>
      <c r="D216" s="347" t="s">
        <v>443</v>
      </c>
      <c r="E216" s="350">
        <v>40947</v>
      </c>
      <c r="F216" s="319" t="s">
        <v>21</v>
      </c>
      <c r="G216" s="319" t="s">
        <v>11</v>
      </c>
      <c r="H216" s="383" t="s">
        <v>967</v>
      </c>
      <c r="I216" s="319" t="s">
        <v>759</v>
      </c>
      <c r="J216" s="319">
        <v>2</v>
      </c>
      <c r="K216" s="320" t="s">
        <v>757</v>
      </c>
      <c r="L216" s="351"/>
    </row>
    <row r="217" spans="1:12" x14ac:dyDescent="0.2">
      <c r="A217" s="319">
        <v>214</v>
      </c>
      <c r="B217" s="347" t="s">
        <v>53</v>
      </c>
      <c r="C217" s="348">
        <v>89000816</v>
      </c>
      <c r="D217" s="349" t="s">
        <v>968</v>
      </c>
      <c r="E217" s="360">
        <v>44963</v>
      </c>
      <c r="F217" s="348" t="s">
        <v>17</v>
      </c>
      <c r="G217" s="319" t="s">
        <v>62</v>
      </c>
      <c r="H217" s="319">
        <v>4.74</v>
      </c>
      <c r="I217" s="319" t="s">
        <v>759</v>
      </c>
      <c r="J217" s="319">
        <v>2</v>
      </c>
      <c r="K217" s="320" t="s">
        <v>757</v>
      </c>
      <c r="L217" s="351"/>
    </row>
    <row r="218" spans="1:12" x14ac:dyDescent="0.2">
      <c r="A218" s="319">
        <v>215</v>
      </c>
      <c r="B218" s="347" t="s">
        <v>958</v>
      </c>
      <c r="C218" s="319">
        <v>18394854</v>
      </c>
      <c r="D218" s="347" t="s">
        <v>445</v>
      </c>
      <c r="E218" s="322">
        <v>41872</v>
      </c>
      <c r="F218" s="319" t="s">
        <v>21</v>
      </c>
      <c r="G218" s="319" t="s">
        <v>10</v>
      </c>
      <c r="H218" s="359">
        <v>4.75</v>
      </c>
      <c r="I218" s="319" t="s">
        <v>772</v>
      </c>
      <c r="J218" s="319">
        <v>2</v>
      </c>
      <c r="K218" s="320" t="s">
        <v>757</v>
      </c>
      <c r="L218" s="351"/>
    </row>
    <row r="219" spans="1:12" x14ac:dyDescent="0.2">
      <c r="A219" s="319">
        <v>216</v>
      </c>
      <c r="B219" s="347" t="s">
        <v>956</v>
      </c>
      <c r="C219" s="319">
        <v>73076926</v>
      </c>
      <c r="D219" s="347" t="s">
        <v>446</v>
      </c>
      <c r="E219" s="350">
        <v>38986</v>
      </c>
      <c r="F219" s="319" t="s">
        <v>242</v>
      </c>
      <c r="G219" s="319" t="s">
        <v>11</v>
      </c>
      <c r="H219" s="359">
        <v>4.76</v>
      </c>
      <c r="I219" s="319" t="s">
        <v>772</v>
      </c>
      <c r="J219" s="319">
        <v>2</v>
      </c>
      <c r="K219" s="320" t="s">
        <v>757</v>
      </c>
      <c r="L219" s="351"/>
    </row>
    <row r="220" spans="1:12" x14ac:dyDescent="0.2">
      <c r="A220" s="319">
        <v>217</v>
      </c>
      <c r="B220" s="347" t="s">
        <v>956</v>
      </c>
      <c r="C220" s="319">
        <v>18593326</v>
      </c>
      <c r="D220" s="347" t="s">
        <v>447</v>
      </c>
      <c r="E220" s="350">
        <v>40392</v>
      </c>
      <c r="F220" s="319" t="s">
        <v>242</v>
      </c>
      <c r="G220" s="319" t="s">
        <v>62</v>
      </c>
      <c r="H220" s="359">
        <v>4.9000000000000004</v>
      </c>
      <c r="I220" s="319" t="s">
        <v>772</v>
      </c>
      <c r="J220" s="319">
        <v>2</v>
      </c>
      <c r="K220" s="320" t="s">
        <v>757</v>
      </c>
      <c r="L220" s="351"/>
    </row>
    <row r="221" spans="1:12" x14ac:dyDescent="0.2">
      <c r="A221" s="319">
        <v>218</v>
      </c>
      <c r="B221" s="347" t="s">
        <v>53</v>
      </c>
      <c r="C221" s="319">
        <v>7535611</v>
      </c>
      <c r="D221" s="347" t="s">
        <v>448</v>
      </c>
      <c r="E221" s="350">
        <v>34366</v>
      </c>
      <c r="F221" s="319" t="s">
        <v>17</v>
      </c>
      <c r="G221" s="319" t="s">
        <v>10</v>
      </c>
      <c r="H221" s="319">
        <v>4.13</v>
      </c>
      <c r="I221" s="319" t="s">
        <v>772</v>
      </c>
      <c r="J221" s="319">
        <v>1.6</v>
      </c>
      <c r="K221" s="320" t="s">
        <v>757</v>
      </c>
      <c r="L221" s="351"/>
    </row>
    <row r="222" spans="1:12" x14ac:dyDescent="0.2">
      <c r="A222" s="319">
        <v>219</v>
      </c>
      <c r="B222" s="347" t="s">
        <v>58</v>
      </c>
      <c r="C222" s="319">
        <v>7545963</v>
      </c>
      <c r="D222" s="347" t="s">
        <v>449</v>
      </c>
      <c r="E222" s="350">
        <v>35828</v>
      </c>
      <c r="F222" s="319" t="s">
        <v>17</v>
      </c>
      <c r="G222" s="319" t="s">
        <v>11</v>
      </c>
      <c r="H222" s="359">
        <v>4.7</v>
      </c>
      <c r="I222" s="319" t="s">
        <v>772</v>
      </c>
      <c r="J222" s="319">
        <v>2</v>
      </c>
      <c r="K222" s="320" t="s">
        <v>757</v>
      </c>
      <c r="L222" s="351"/>
    </row>
    <row r="223" spans="1:12" x14ac:dyDescent="0.2">
      <c r="A223" s="319">
        <v>220</v>
      </c>
      <c r="B223" s="347" t="s">
        <v>58</v>
      </c>
      <c r="C223" s="319">
        <v>7520093</v>
      </c>
      <c r="D223" s="347" t="s">
        <v>450</v>
      </c>
      <c r="E223" s="350">
        <v>35828</v>
      </c>
      <c r="F223" s="319" t="s">
        <v>17</v>
      </c>
      <c r="G223" s="319" t="s">
        <v>10</v>
      </c>
      <c r="H223" s="319">
        <v>4.59</v>
      </c>
      <c r="I223" s="319" t="s">
        <v>764</v>
      </c>
      <c r="J223" s="319">
        <v>2</v>
      </c>
      <c r="K223" s="320" t="s">
        <v>757</v>
      </c>
      <c r="L223" s="351"/>
    </row>
    <row r="224" spans="1:12" x14ac:dyDescent="0.2">
      <c r="A224" s="319">
        <v>221</v>
      </c>
      <c r="B224" s="347" t="s">
        <v>58</v>
      </c>
      <c r="C224" s="348">
        <v>41961829</v>
      </c>
      <c r="D224" s="349" t="s">
        <v>451</v>
      </c>
      <c r="E224" s="360">
        <v>44963</v>
      </c>
      <c r="F224" s="319" t="s">
        <v>21</v>
      </c>
      <c r="G224" s="319" t="s">
        <v>22</v>
      </c>
      <c r="H224" s="361">
        <v>4.97</v>
      </c>
      <c r="I224" s="319" t="s">
        <v>759</v>
      </c>
      <c r="J224" s="319">
        <v>2</v>
      </c>
      <c r="K224" s="320" t="s">
        <v>757</v>
      </c>
      <c r="L224" s="347"/>
    </row>
    <row r="225" spans="1:12" x14ac:dyDescent="0.2">
      <c r="A225" s="319">
        <v>222</v>
      </c>
      <c r="B225" s="347" t="s">
        <v>58</v>
      </c>
      <c r="C225" s="319">
        <v>76308181</v>
      </c>
      <c r="D225" s="347" t="s">
        <v>969</v>
      </c>
      <c r="E225" s="350">
        <v>37288</v>
      </c>
      <c r="F225" s="319" t="s">
        <v>21</v>
      </c>
      <c r="G225" s="319" t="s">
        <v>10</v>
      </c>
      <c r="H225" s="319">
        <v>4.84</v>
      </c>
      <c r="I225" s="319" t="s">
        <v>772</v>
      </c>
      <c r="J225" s="319">
        <v>2</v>
      </c>
      <c r="K225" s="320" t="s">
        <v>757</v>
      </c>
      <c r="L225" s="351"/>
    </row>
    <row r="226" spans="1:12" x14ac:dyDescent="0.2">
      <c r="A226" s="319">
        <v>223</v>
      </c>
      <c r="B226" s="347" t="s">
        <v>58</v>
      </c>
      <c r="C226" s="319">
        <v>41902205</v>
      </c>
      <c r="D226" s="347" t="s">
        <v>453</v>
      </c>
      <c r="E226" s="350">
        <v>35828</v>
      </c>
      <c r="F226" s="319" t="s">
        <v>17</v>
      </c>
      <c r="G226" s="319" t="s">
        <v>10</v>
      </c>
      <c r="H226" s="359">
        <v>4.93</v>
      </c>
      <c r="I226" s="319" t="s">
        <v>772</v>
      </c>
      <c r="J226" s="319">
        <v>2</v>
      </c>
      <c r="K226" s="320" t="s">
        <v>757</v>
      </c>
      <c r="L226" s="347"/>
    </row>
    <row r="227" spans="1:12" x14ac:dyDescent="0.2">
      <c r="A227" s="319">
        <v>224</v>
      </c>
      <c r="B227" s="347" t="s">
        <v>58</v>
      </c>
      <c r="C227" s="319">
        <v>7524166</v>
      </c>
      <c r="D227" s="347" t="s">
        <v>454</v>
      </c>
      <c r="E227" s="350">
        <v>35828</v>
      </c>
      <c r="F227" s="319" t="s">
        <v>17</v>
      </c>
      <c r="G227" s="319" t="s">
        <v>22</v>
      </c>
      <c r="H227" s="359">
        <v>4.74</v>
      </c>
      <c r="I227" s="319" t="s">
        <v>772</v>
      </c>
      <c r="J227" s="319">
        <v>2</v>
      </c>
      <c r="K227" s="320" t="s">
        <v>757</v>
      </c>
      <c r="L227" s="351"/>
    </row>
    <row r="228" spans="1:12" x14ac:dyDescent="0.2">
      <c r="A228" s="319">
        <v>225</v>
      </c>
      <c r="B228" s="347" t="s">
        <v>58</v>
      </c>
      <c r="C228" s="319">
        <v>4377450</v>
      </c>
      <c r="D228" s="347" t="s">
        <v>455</v>
      </c>
      <c r="E228" s="350">
        <v>40203</v>
      </c>
      <c r="F228" s="319" t="s">
        <v>17</v>
      </c>
      <c r="G228" s="319" t="s">
        <v>22</v>
      </c>
      <c r="H228" s="361">
        <v>4.8099999999999996</v>
      </c>
      <c r="I228" s="361" t="s">
        <v>760</v>
      </c>
      <c r="J228" s="319">
        <v>2</v>
      </c>
      <c r="K228" s="320" t="s">
        <v>757</v>
      </c>
      <c r="L228" s="351"/>
    </row>
    <row r="229" spans="1:12" x14ac:dyDescent="0.2">
      <c r="A229" s="319">
        <v>226</v>
      </c>
      <c r="B229" s="347" t="s">
        <v>58</v>
      </c>
      <c r="C229" s="319">
        <v>19164898</v>
      </c>
      <c r="D229" s="347" t="s">
        <v>456</v>
      </c>
      <c r="E229" s="350">
        <v>32910</v>
      </c>
      <c r="F229" s="319" t="s">
        <v>17</v>
      </c>
      <c r="G229" s="319" t="s">
        <v>10</v>
      </c>
      <c r="H229" s="319">
        <v>4.12</v>
      </c>
      <c r="I229" s="319" t="s">
        <v>764</v>
      </c>
      <c r="J229" s="319">
        <v>1.6</v>
      </c>
      <c r="K229" s="320" t="s">
        <v>757</v>
      </c>
      <c r="L229" s="351"/>
    </row>
    <row r="230" spans="1:12" x14ac:dyDescent="0.2">
      <c r="A230" s="319">
        <v>227</v>
      </c>
      <c r="B230" s="347" t="s">
        <v>58</v>
      </c>
      <c r="C230" s="320">
        <v>7563112</v>
      </c>
      <c r="D230" s="351" t="s">
        <v>970</v>
      </c>
      <c r="E230" s="350">
        <v>40947</v>
      </c>
      <c r="F230" s="319" t="s">
        <v>21</v>
      </c>
      <c r="G230" s="319" t="s">
        <v>10</v>
      </c>
      <c r="H230" s="319">
        <v>4.83</v>
      </c>
      <c r="I230" s="319" t="s">
        <v>764</v>
      </c>
      <c r="J230" s="319">
        <v>2</v>
      </c>
      <c r="K230" s="320" t="s">
        <v>757</v>
      </c>
      <c r="L230" s="351"/>
    </row>
    <row r="231" spans="1:12" ht="25.5" x14ac:dyDescent="0.2">
      <c r="A231" s="354">
        <v>228</v>
      </c>
      <c r="B231" s="356" t="s">
        <v>58</v>
      </c>
      <c r="C231" s="354">
        <v>42086140</v>
      </c>
      <c r="D231" s="356" t="s">
        <v>971</v>
      </c>
      <c r="E231" s="357">
        <v>39142</v>
      </c>
      <c r="F231" s="354" t="s">
        <v>21</v>
      </c>
      <c r="G231" s="354" t="s">
        <v>10</v>
      </c>
      <c r="H231" s="371">
        <v>4.95</v>
      </c>
      <c r="I231" s="354" t="s">
        <v>790</v>
      </c>
      <c r="J231" s="354">
        <v>2</v>
      </c>
      <c r="K231" s="358" t="s">
        <v>768</v>
      </c>
      <c r="L231" s="355" t="s">
        <v>460</v>
      </c>
    </row>
    <row r="232" spans="1:12" ht="25.5" x14ac:dyDescent="0.2">
      <c r="A232" s="354">
        <v>229</v>
      </c>
      <c r="B232" s="356" t="s">
        <v>58</v>
      </c>
      <c r="C232" s="379">
        <v>18497593</v>
      </c>
      <c r="D232" s="380" t="s">
        <v>461</v>
      </c>
      <c r="E232" s="357">
        <v>42955</v>
      </c>
      <c r="F232" s="354" t="s">
        <v>17</v>
      </c>
      <c r="G232" s="354" t="s">
        <v>10</v>
      </c>
      <c r="H232" s="363">
        <v>4.95</v>
      </c>
      <c r="I232" s="354" t="s">
        <v>760</v>
      </c>
      <c r="J232" s="354">
        <v>2</v>
      </c>
      <c r="K232" s="358" t="s">
        <v>768</v>
      </c>
      <c r="L232" s="355" t="s">
        <v>463</v>
      </c>
    </row>
    <row r="233" spans="1:12" ht="38.25" x14ac:dyDescent="0.2">
      <c r="A233" s="340">
        <v>230</v>
      </c>
      <c r="B233" s="341" t="s">
        <v>58</v>
      </c>
      <c r="C233" s="340">
        <v>91493800</v>
      </c>
      <c r="D233" s="341" t="s">
        <v>464</v>
      </c>
      <c r="E233" s="376">
        <v>39664</v>
      </c>
      <c r="F233" s="340" t="s">
        <v>17</v>
      </c>
      <c r="G233" s="340" t="s">
        <v>22</v>
      </c>
      <c r="H233" s="378">
        <v>4.79</v>
      </c>
      <c r="I233" s="340" t="s">
        <v>756</v>
      </c>
      <c r="J233" s="340">
        <v>2</v>
      </c>
      <c r="K233" s="344" t="s">
        <v>757</v>
      </c>
      <c r="L233" s="342" t="s">
        <v>972</v>
      </c>
    </row>
    <row r="234" spans="1:12" x14ac:dyDescent="0.2">
      <c r="A234" s="319">
        <v>231</v>
      </c>
      <c r="B234" s="347" t="s">
        <v>58</v>
      </c>
      <c r="C234" s="348">
        <v>1094890604</v>
      </c>
      <c r="D234" s="349" t="s">
        <v>465</v>
      </c>
      <c r="E234" s="360">
        <v>44963</v>
      </c>
      <c r="F234" s="319" t="s">
        <v>21</v>
      </c>
      <c r="G234" s="319" t="s">
        <v>22</v>
      </c>
      <c r="H234" s="361">
        <v>4.7699999999999996</v>
      </c>
      <c r="I234" s="319" t="s">
        <v>759</v>
      </c>
      <c r="J234" s="319">
        <v>2</v>
      </c>
      <c r="K234" s="320" t="s">
        <v>757</v>
      </c>
      <c r="L234" s="347"/>
    </row>
    <row r="235" spans="1:12" x14ac:dyDescent="0.2">
      <c r="A235" s="319">
        <v>232</v>
      </c>
      <c r="B235" s="347" t="s">
        <v>60</v>
      </c>
      <c r="C235" s="319">
        <v>41912331</v>
      </c>
      <c r="D235" s="347" t="s">
        <v>973</v>
      </c>
      <c r="E235" s="350">
        <v>38041</v>
      </c>
      <c r="F235" s="319" t="s">
        <v>21</v>
      </c>
      <c r="G235" s="319" t="s">
        <v>10</v>
      </c>
      <c r="H235" s="361">
        <v>4.79</v>
      </c>
      <c r="I235" s="319" t="s">
        <v>760</v>
      </c>
      <c r="J235" s="319">
        <v>2</v>
      </c>
      <c r="K235" s="320" t="s">
        <v>757</v>
      </c>
      <c r="L235" s="351"/>
    </row>
    <row r="236" spans="1:12" x14ac:dyDescent="0.2">
      <c r="A236" s="319">
        <v>233</v>
      </c>
      <c r="B236" s="347" t="s">
        <v>60</v>
      </c>
      <c r="C236" s="348">
        <v>14702760</v>
      </c>
      <c r="D236" s="349" t="s">
        <v>467</v>
      </c>
      <c r="E236" s="360">
        <v>45107</v>
      </c>
      <c r="F236" s="348" t="s">
        <v>17</v>
      </c>
      <c r="G236" s="319" t="s">
        <v>62</v>
      </c>
      <c r="H236" s="361">
        <v>4.97</v>
      </c>
      <c r="I236" s="319" t="s">
        <v>759</v>
      </c>
      <c r="J236" s="319">
        <v>2</v>
      </c>
      <c r="K236" s="320" t="s">
        <v>757</v>
      </c>
      <c r="L236" s="351"/>
    </row>
    <row r="237" spans="1:12" x14ac:dyDescent="0.2">
      <c r="A237" s="319">
        <v>234</v>
      </c>
      <c r="B237" s="347" t="s">
        <v>60</v>
      </c>
      <c r="C237" s="319">
        <v>41911962</v>
      </c>
      <c r="D237" s="347" t="s">
        <v>974</v>
      </c>
      <c r="E237" s="350">
        <v>39660</v>
      </c>
      <c r="F237" s="319" t="s">
        <v>21</v>
      </c>
      <c r="G237" s="319" t="s">
        <v>10</v>
      </c>
      <c r="H237" s="361">
        <v>4.9000000000000004</v>
      </c>
      <c r="I237" s="319" t="s">
        <v>760</v>
      </c>
      <c r="J237" s="319">
        <v>2</v>
      </c>
      <c r="K237" s="320" t="s">
        <v>757</v>
      </c>
      <c r="L237" s="351"/>
    </row>
    <row r="238" spans="1:12" x14ac:dyDescent="0.2">
      <c r="A238" s="319">
        <v>235</v>
      </c>
      <c r="B238" s="347" t="s">
        <v>60</v>
      </c>
      <c r="C238" s="348">
        <v>29505841</v>
      </c>
      <c r="D238" s="349" t="s">
        <v>469</v>
      </c>
      <c r="E238" s="360">
        <v>44963</v>
      </c>
      <c r="F238" s="348" t="s">
        <v>17</v>
      </c>
      <c r="G238" s="319" t="s">
        <v>62</v>
      </c>
      <c r="H238" s="319">
        <v>4.92</v>
      </c>
      <c r="I238" s="319" t="s">
        <v>759</v>
      </c>
      <c r="J238" s="319">
        <v>2</v>
      </c>
      <c r="K238" s="320" t="s">
        <v>757</v>
      </c>
      <c r="L238" s="351"/>
    </row>
    <row r="239" spans="1:12" x14ac:dyDescent="0.2">
      <c r="A239" s="319">
        <v>236</v>
      </c>
      <c r="B239" s="347" t="s">
        <v>60</v>
      </c>
      <c r="C239" s="348">
        <v>9726715</v>
      </c>
      <c r="D239" s="349" t="s">
        <v>470</v>
      </c>
      <c r="E239" s="360">
        <v>44963</v>
      </c>
      <c r="F239" s="348" t="s">
        <v>17</v>
      </c>
      <c r="G239" s="319" t="s">
        <v>62</v>
      </c>
      <c r="H239" s="359">
        <v>4.9000000000000004</v>
      </c>
      <c r="I239" s="319" t="s">
        <v>759</v>
      </c>
      <c r="J239" s="319">
        <v>2</v>
      </c>
      <c r="K239" s="320" t="s">
        <v>757</v>
      </c>
      <c r="L239" s="351"/>
    </row>
    <row r="240" spans="1:12" x14ac:dyDescent="0.2">
      <c r="A240" s="319">
        <v>237</v>
      </c>
      <c r="B240" s="347" t="s">
        <v>60</v>
      </c>
      <c r="C240" s="319">
        <v>11380439</v>
      </c>
      <c r="D240" s="370" t="s">
        <v>471</v>
      </c>
      <c r="E240" s="350">
        <v>42955</v>
      </c>
      <c r="F240" s="319" t="s">
        <v>17</v>
      </c>
      <c r="G240" s="319" t="s">
        <v>10</v>
      </c>
      <c r="H240" s="361">
        <v>4.78</v>
      </c>
      <c r="I240" s="319" t="s">
        <v>760</v>
      </c>
      <c r="J240" s="319">
        <v>2</v>
      </c>
      <c r="K240" s="320" t="s">
        <v>757</v>
      </c>
      <c r="L240" s="351"/>
    </row>
    <row r="241" spans="1:12" ht="25.5" x14ac:dyDescent="0.2">
      <c r="A241" s="319">
        <v>238</v>
      </c>
      <c r="B241" s="351" t="s">
        <v>80</v>
      </c>
      <c r="C241" s="319">
        <v>18506672</v>
      </c>
      <c r="D241" s="347" t="s">
        <v>472</v>
      </c>
      <c r="E241" s="350">
        <v>34373</v>
      </c>
      <c r="F241" s="319" t="s">
        <v>17</v>
      </c>
      <c r="G241" s="319" t="s">
        <v>11</v>
      </c>
      <c r="H241" s="359">
        <v>4.7</v>
      </c>
      <c r="I241" s="319" t="s">
        <v>760</v>
      </c>
      <c r="J241" s="319">
        <v>2</v>
      </c>
      <c r="K241" s="320" t="s">
        <v>757</v>
      </c>
      <c r="L241" s="351"/>
    </row>
    <row r="242" spans="1:12" ht="25.5" x14ac:dyDescent="0.2">
      <c r="A242" s="365">
        <v>239</v>
      </c>
      <c r="B242" s="366" t="s">
        <v>80</v>
      </c>
      <c r="C242" s="373">
        <v>89001325</v>
      </c>
      <c r="D242" s="367" t="s">
        <v>474</v>
      </c>
      <c r="E242" s="368">
        <v>42955</v>
      </c>
      <c r="F242" s="365" t="s">
        <v>17</v>
      </c>
      <c r="G242" s="365" t="s">
        <v>11</v>
      </c>
      <c r="H242" s="375">
        <v>4.87</v>
      </c>
      <c r="I242" s="365" t="s">
        <v>763</v>
      </c>
      <c r="J242" s="365">
        <v>2</v>
      </c>
      <c r="K242" s="369" t="s">
        <v>757</v>
      </c>
      <c r="L242" s="366" t="s">
        <v>791</v>
      </c>
    </row>
    <row r="243" spans="1:12" ht="25.5" x14ac:dyDescent="0.2">
      <c r="A243" s="319">
        <v>240</v>
      </c>
      <c r="B243" s="351" t="s">
        <v>80</v>
      </c>
      <c r="C243" s="319">
        <v>14972100</v>
      </c>
      <c r="D243" s="347" t="s">
        <v>475</v>
      </c>
      <c r="E243" s="350">
        <v>35327</v>
      </c>
      <c r="F243" s="319" t="s">
        <v>242</v>
      </c>
      <c r="G243" s="319" t="s">
        <v>22</v>
      </c>
      <c r="H243" s="319">
        <v>4.71</v>
      </c>
      <c r="I243" s="319" t="s">
        <v>764</v>
      </c>
      <c r="J243" s="319">
        <v>2</v>
      </c>
      <c r="K243" s="320" t="s">
        <v>757</v>
      </c>
      <c r="L243" s="351"/>
    </row>
    <row r="244" spans="1:12" ht="25.5" x14ac:dyDescent="0.2">
      <c r="A244" s="319">
        <v>241</v>
      </c>
      <c r="B244" s="351" t="s">
        <v>80</v>
      </c>
      <c r="C244" s="319">
        <v>16215234</v>
      </c>
      <c r="D244" s="347" t="s">
        <v>476</v>
      </c>
      <c r="E244" s="350">
        <v>35828</v>
      </c>
      <c r="F244" s="319" t="s">
        <v>17</v>
      </c>
      <c r="G244" s="319" t="s">
        <v>11</v>
      </c>
      <c r="H244" s="319">
        <v>4.8099999999999996</v>
      </c>
      <c r="I244" s="319" t="s">
        <v>764</v>
      </c>
      <c r="J244" s="319">
        <v>2</v>
      </c>
      <c r="K244" s="320" t="s">
        <v>757</v>
      </c>
      <c r="L244" s="351"/>
    </row>
    <row r="245" spans="1:12" ht="25.5" x14ac:dyDescent="0.2">
      <c r="A245" s="319">
        <v>242</v>
      </c>
      <c r="B245" s="351" t="s">
        <v>80</v>
      </c>
      <c r="C245" s="319">
        <v>16209177</v>
      </c>
      <c r="D245" s="347" t="s">
        <v>975</v>
      </c>
      <c r="E245" s="350">
        <v>31810</v>
      </c>
      <c r="F245" s="319" t="s">
        <v>17</v>
      </c>
      <c r="G245" s="319" t="s">
        <v>11</v>
      </c>
      <c r="H245" s="319">
        <v>4.93</v>
      </c>
      <c r="I245" s="319" t="s">
        <v>772</v>
      </c>
      <c r="J245" s="319">
        <v>2</v>
      </c>
      <c r="K245" s="320" t="s">
        <v>840</v>
      </c>
      <c r="L245" s="351"/>
    </row>
    <row r="246" spans="1:12" ht="25.5" x14ac:dyDescent="0.2">
      <c r="A246" s="319">
        <v>243</v>
      </c>
      <c r="B246" s="351" t="s">
        <v>80</v>
      </c>
      <c r="C246" s="319">
        <v>93381654</v>
      </c>
      <c r="D246" s="347" t="s">
        <v>478</v>
      </c>
      <c r="E246" s="350">
        <v>38040</v>
      </c>
      <c r="F246" s="319" t="s">
        <v>21</v>
      </c>
      <c r="G246" s="319" t="s">
        <v>11</v>
      </c>
      <c r="H246" s="319">
        <v>4.75</v>
      </c>
      <c r="I246" s="319" t="s">
        <v>772</v>
      </c>
      <c r="J246" s="319">
        <v>2</v>
      </c>
      <c r="K246" s="320" t="s">
        <v>757</v>
      </c>
      <c r="L246" s="351"/>
    </row>
    <row r="247" spans="1:12" ht="25.5" x14ac:dyDescent="0.2">
      <c r="A247" s="319">
        <v>244</v>
      </c>
      <c r="B247" s="351" t="s">
        <v>80</v>
      </c>
      <c r="C247" s="319">
        <v>16221041</v>
      </c>
      <c r="D247" s="347" t="s">
        <v>479</v>
      </c>
      <c r="E247" s="350">
        <v>34837</v>
      </c>
      <c r="F247" s="319" t="s">
        <v>21</v>
      </c>
      <c r="G247" s="319" t="s">
        <v>22</v>
      </c>
      <c r="H247" s="319">
        <v>4.8099999999999996</v>
      </c>
      <c r="I247" s="319" t="s">
        <v>772</v>
      </c>
      <c r="J247" s="319">
        <v>2</v>
      </c>
      <c r="K247" s="320" t="s">
        <v>757</v>
      </c>
      <c r="L247" s="351"/>
    </row>
    <row r="248" spans="1:12" ht="25.5" x14ac:dyDescent="0.2">
      <c r="A248" s="319">
        <v>245</v>
      </c>
      <c r="B248" s="351" t="s">
        <v>80</v>
      </c>
      <c r="C248" s="319">
        <v>89007291</v>
      </c>
      <c r="D248" s="347" t="s">
        <v>976</v>
      </c>
      <c r="E248" s="350">
        <v>39142</v>
      </c>
      <c r="F248" s="319" t="s">
        <v>21</v>
      </c>
      <c r="G248" s="319" t="s">
        <v>10</v>
      </c>
      <c r="H248" s="361">
        <v>4.9800000000000004</v>
      </c>
      <c r="I248" s="319" t="s">
        <v>763</v>
      </c>
      <c r="J248" s="319">
        <v>2</v>
      </c>
      <c r="K248" s="320" t="s">
        <v>757</v>
      </c>
      <c r="L248" s="351"/>
    </row>
    <row r="249" spans="1:12" ht="25.5" x14ac:dyDescent="0.2">
      <c r="A249" s="319">
        <v>246</v>
      </c>
      <c r="B249" s="351" t="s">
        <v>80</v>
      </c>
      <c r="C249" s="319">
        <v>18497574</v>
      </c>
      <c r="D249" s="347" t="s">
        <v>977</v>
      </c>
      <c r="E249" s="350">
        <v>38776</v>
      </c>
      <c r="F249" s="319" t="s">
        <v>21</v>
      </c>
      <c r="G249" s="319" t="s">
        <v>11</v>
      </c>
      <c r="H249" s="361">
        <v>4.83</v>
      </c>
      <c r="I249" s="319" t="s">
        <v>775</v>
      </c>
      <c r="J249" s="319">
        <v>2</v>
      </c>
      <c r="K249" s="320" t="s">
        <v>757</v>
      </c>
      <c r="L249" s="351"/>
    </row>
    <row r="250" spans="1:12" ht="25.5" x14ac:dyDescent="0.2">
      <c r="A250" s="319">
        <v>247</v>
      </c>
      <c r="B250" s="351" t="s">
        <v>80</v>
      </c>
      <c r="C250" s="319">
        <v>89001416</v>
      </c>
      <c r="D250" s="347" t="s">
        <v>483</v>
      </c>
      <c r="E250" s="350">
        <v>39664</v>
      </c>
      <c r="F250" s="319" t="s">
        <v>21</v>
      </c>
      <c r="G250" s="319" t="s">
        <v>11</v>
      </c>
      <c r="H250" s="361">
        <v>5</v>
      </c>
      <c r="I250" s="319" t="s">
        <v>763</v>
      </c>
      <c r="J250" s="319">
        <v>2</v>
      </c>
      <c r="K250" s="320" t="s">
        <v>757</v>
      </c>
      <c r="L250" s="351"/>
    </row>
    <row r="251" spans="1:12" x14ac:dyDescent="0.2">
      <c r="A251" s="319">
        <v>248</v>
      </c>
      <c r="B251" s="347" t="s">
        <v>485</v>
      </c>
      <c r="C251" s="319">
        <v>9805077</v>
      </c>
      <c r="D251" s="347" t="s">
        <v>484</v>
      </c>
      <c r="E251" s="350">
        <v>35828</v>
      </c>
      <c r="F251" s="319" t="s">
        <v>242</v>
      </c>
      <c r="G251" s="319" t="s">
        <v>22</v>
      </c>
      <c r="H251" s="319">
        <v>4.95</v>
      </c>
      <c r="I251" s="319" t="s">
        <v>978</v>
      </c>
      <c r="J251" s="319">
        <v>2</v>
      </c>
      <c r="K251" s="320" t="s">
        <v>757</v>
      </c>
      <c r="L251" s="347"/>
    </row>
    <row r="252" spans="1:12" x14ac:dyDescent="0.2">
      <c r="A252" s="319">
        <v>249</v>
      </c>
      <c r="B252" s="347" t="s">
        <v>485</v>
      </c>
      <c r="C252" s="348">
        <v>41957767</v>
      </c>
      <c r="D252" s="349" t="s">
        <v>979</v>
      </c>
      <c r="E252" s="360">
        <v>44963</v>
      </c>
      <c r="F252" s="348" t="s">
        <v>17</v>
      </c>
      <c r="G252" s="319" t="s">
        <v>62</v>
      </c>
      <c r="H252" s="361">
        <v>4.72</v>
      </c>
      <c r="I252" s="319" t="s">
        <v>759</v>
      </c>
      <c r="J252" s="319">
        <v>2</v>
      </c>
      <c r="K252" s="320" t="s">
        <v>757</v>
      </c>
      <c r="L252" s="347"/>
    </row>
    <row r="253" spans="1:12" x14ac:dyDescent="0.2">
      <c r="A253" s="319">
        <v>250</v>
      </c>
      <c r="B253" s="347" t="s">
        <v>57</v>
      </c>
      <c r="C253" s="348">
        <v>24344593</v>
      </c>
      <c r="D253" s="349" t="s">
        <v>980</v>
      </c>
      <c r="E253" s="360">
        <v>44963</v>
      </c>
      <c r="F253" s="348" t="s">
        <v>21</v>
      </c>
      <c r="G253" s="319" t="s">
        <v>22</v>
      </c>
      <c r="H253" s="361">
        <v>4.9400000000000004</v>
      </c>
      <c r="I253" s="319" t="s">
        <v>759</v>
      </c>
      <c r="J253" s="319">
        <v>2</v>
      </c>
      <c r="K253" s="320" t="s">
        <v>757</v>
      </c>
      <c r="L253" s="351"/>
    </row>
    <row r="254" spans="1:12" ht="25.5" x14ac:dyDescent="0.2">
      <c r="A254" s="354">
        <v>251</v>
      </c>
      <c r="B254" s="356" t="s">
        <v>57</v>
      </c>
      <c r="C254" s="354">
        <v>16369647</v>
      </c>
      <c r="D254" s="356" t="s">
        <v>488</v>
      </c>
      <c r="E254" s="357">
        <v>41436</v>
      </c>
      <c r="F254" s="354" t="s">
        <v>21</v>
      </c>
      <c r="G254" s="354" t="s">
        <v>11</v>
      </c>
      <c r="H254" s="363">
        <v>4.45</v>
      </c>
      <c r="I254" s="354" t="s">
        <v>760</v>
      </c>
      <c r="J254" s="354">
        <v>1.6</v>
      </c>
      <c r="K254" s="358" t="s">
        <v>768</v>
      </c>
      <c r="L254" s="355" t="s">
        <v>490</v>
      </c>
    </row>
    <row r="255" spans="1:12" x14ac:dyDescent="0.2">
      <c r="A255" s="319">
        <v>252</v>
      </c>
      <c r="B255" s="347" t="s">
        <v>57</v>
      </c>
      <c r="C255" s="319">
        <v>42144287</v>
      </c>
      <c r="D255" s="347" t="s">
        <v>491</v>
      </c>
      <c r="E255" s="322">
        <v>41872</v>
      </c>
      <c r="F255" s="348" t="s">
        <v>21</v>
      </c>
      <c r="G255" s="319" t="s">
        <v>10</v>
      </c>
      <c r="H255" s="320">
        <v>4.9400000000000004</v>
      </c>
      <c r="I255" s="319" t="s">
        <v>775</v>
      </c>
      <c r="J255" s="319">
        <v>2</v>
      </c>
      <c r="K255" s="320" t="s">
        <v>757</v>
      </c>
      <c r="L255" s="351"/>
    </row>
    <row r="256" spans="1:12" ht="25.5" x14ac:dyDescent="0.2">
      <c r="A256" s="354">
        <v>253</v>
      </c>
      <c r="B256" s="356" t="s">
        <v>57</v>
      </c>
      <c r="C256" s="354">
        <v>41934400</v>
      </c>
      <c r="D256" s="356" t="s">
        <v>981</v>
      </c>
      <c r="E256" s="357">
        <v>40947</v>
      </c>
      <c r="F256" s="354" t="s">
        <v>21</v>
      </c>
      <c r="G256" s="354" t="s">
        <v>10</v>
      </c>
      <c r="H256" s="363">
        <v>4.9800000000000004</v>
      </c>
      <c r="I256" s="354" t="s">
        <v>760</v>
      </c>
      <c r="J256" s="354">
        <v>2</v>
      </c>
      <c r="K256" s="358" t="s">
        <v>768</v>
      </c>
      <c r="L256" s="355" t="s">
        <v>494</v>
      </c>
    </row>
    <row r="257" spans="1:12" x14ac:dyDescent="0.2">
      <c r="A257" s="319">
        <v>254</v>
      </c>
      <c r="B257" s="347" t="s">
        <v>57</v>
      </c>
      <c r="C257" s="319">
        <v>41923129</v>
      </c>
      <c r="D257" s="347" t="s">
        <v>495</v>
      </c>
      <c r="E257" s="350">
        <v>38376</v>
      </c>
      <c r="F257" s="319" t="s">
        <v>21</v>
      </c>
      <c r="G257" s="319" t="s">
        <v>22</v>
      </c>
      <c r="H257" s="320">
        <v>4.93</v>
      </c>
      <c r="I257" s="319" t="s">
        <v>775</v>
      </c>
      <c r="J257" s="319">
        <v>2</v>
      </c>
      <c r="K257" s="320" t="s">
        <v>757</v>
      </c>
      <c r="L257" s="351"/>
    </row>
    <row r="258" spans="1:12" x14ac:dyDescent="0.2">
      <c r="A258" s="319">
        <v>255</v>
      </c>
      <c r="B258" s="347" t="s">
        <v>57</v>
      </c>
      <c r="C258" s="319">
        <v>7562748</v>
      </c>
      <c r="D258" s="347" t="s">
        <v>982</v>
      </c>
      <c r="E258" s="350">
        <v>40203</v>
      </c>
      <c r="F258" s="319" t="s">
        <v>21</v>
      </c>
      <c r="G258" s="319" t="s">
        <v>22</v>
      </c>
      <c r="H258" s="381">
        <v>4.8</v>
      </c>
      <c r="I258" s="319" t="s">
        <v>760</v>
      </c>
      <c r="J258" s="319">
        <v>2</v>
      </c>
      <c r="K258" s="320" t="s">
        <v>757</v>
      </c>
      <c r="L258" s="351"/>
    </row>
    <row r="259" spans="1:12" x14ac:dyDescent="0.2">
      <c r="A259" s="319">
        <v>256</v>
      </c>
      <c r="B259" s="347" t="s">
        <v>57</v>
      </c>
      <c r="C259" s="353">
        <v>79567036</v>
      </c>
      <c r="D259" s="351" t="s">
        <v>983</v>
      </c>
      <c r="E259" s="350">
        <v>43864</v>
      </c>
      <c r="F259" s="319" t="s">
        <v>17</v>
      </c>
      <c r="G259" s="319" t="s">
        <v>10</v>
      </c>
      <c r="H259" s="319">
        <v>4.93</v>
      </c>
      <c r="I259" s="320" t="s">
        <v>759</v>
      </c>
      <c r="J259" s="319">
        <v>2</v>
      </c>
      <c r="K259" s="320" t="s">
        <v>757</v>
      </c>
      <c r="L259" s="351"/>
    </row>
    <row r="260" spans="1:12" x14ac:dyDescent="0.2">
      <c r="A260" s="319">
        <v>257</v>
      </c>
      <c r="B260" s="347" t="s">
        <v>57</v>
      </c>
      <c r="C260" s="319">
        <v>24580571</v>
      </c>
      <c r="D260" s="347" t="s">
        <v>984</v>
      </c>
      <c r="E260" s="350">
        <v>39142</v>
      </c>
      <c r="F260" s="319" t="s">
        <v>21</v>
      </c>
      <c r="G260" s="319" t="s">
        <v>11</v>
      </c>
      <c r="H260" s="361">
        <v>4.76</v>
      </c>
      <c r="I260" s="319" t="s">
        <v>763</v>
      </c>
      <c r="J260" s="319">
        <v>2</v>
      </c>
      <c r="K260" s="320" t="s">
        <v>757</v>
      </c>
      <c r="L260" s="351"/>
    </row>
    <row r="261" spans="1:12" x14ac:dyDescent="0.2">
      <c r="A261" s="319">
        <v>258</v>
      </c>
      <c r="B261" s="347" t="s">
        <v>57</v>
      </c>
      <c r="C261" s="319">
        <v>24347314</v>
      </c>
      <c r="D261" s="347" t="s">
        <v>499</v>
      </c>
      <c r="E261" s="350">
        <v>40947</v>
      </c>
      <c r="F261" s="319" t="s">
        <v>21</v>
      </c>
      <c r="G261" s="319" t="s">
        <v>10</v>
      </c>
      <c r="H261" s="361">
        <v>4.76</v>
      </c>
      <c r="I261" s="319" t="s">
        <v>772</v>
      </c>
      <c r="J261" s="319">
        <v>2</v>
      </c>
      <c r="K261" s="320" t="s">
        <v>757</v>
      </c>
      <c r="L261" s="351"/>
    </row>
    <row r="262" spans="1:12" x14ac:dyDescent="0.2">
      <c r="A262" s="319">
        <v>259</v>
      </c>
      <c r="B262" s="347" t="s">
        <v>501</v>
      </c>
      <c r="C262" s="348">
        <v>18495531</v>
      </c>
      <c r="D262" s="349" t="s">
        <v>500</v>
      </c>
      <c r="E262" s="360">
        <v>44963</v>
      </c>
      <c r="F262" s="348" t="s">
        <v>17</v>
      </c>
      <c r="G262" s="319" t="s">
        <v>62</v>
      </c>
      <c r="H262" s="361">
        <v>4.95</v>
      </c>
      <c r="I262" s="319" t="s">
        <v>759</v>
      </c>
      <c r="J262" s="319">
        <v>2</v>
      </c>
      <c r="K262" s="320" t="s">
        <v>757</v>
      </c>
      <c r="L262" s="351"/>
    </row>
    <row r="263" spans="1:12" x14ac:dyDescent="0.2">
      <c r="A263" s="365">
        <v>260</v>
      </c>
      <c r="B263" s="366" t="s">
        <v>501</v>
      </c>
      <c r="C263" s="373">
        <v>18386170</v>
      </c>
      <c r="D263" s="367" t="s">
        <v>503</v>
      </c>
      <c r="E263" s="368">
        <v>42955</v>
      </c>
      <c r="F263" s="365" t="s">
        <v>17</v>
      </c>
      <c r="G263" s="365" t="s">
        <v>10</v>
      </c>
      <c r="H263" s="365">
        <v>4.87</v>
      </c>
      <c r="I263" s="365" t="s">
        <v>764</v>
      </c>
      <c r="J263" s="365">
        <v>2</v>
      </c>
      <c r="K263" s="369" t="s">
        <v>757</v>
      </c>
      <c r="L263" s="366" t="s">
        <v>791</v>
      </c>
    </row>
    <row r="264" spans="1:12" x14ac:dyDescent="0.2">
      <c r="A264" s="319">
        <v>261</v>
      </c>
      <c r="B264" s="351" t="s">
        <v>501</v>
      </c>
      <c r="C264" s="319">
        <v>10276247</v>
      </c>
      <c r="D264" s="347" t="s">
        <v>504</v>
      </c>
      <c r="E264" s="350">
        <v>40210</v>
      </c>
      <c r="F264" s="319" t="s">
        <v>21</v>
      </c>
      <c r="G264" s="319" t="s">
        <v>11</v>
      </c>
      <c r="H264" s="319">
        <v>4.9800000000000004</v>
      </c>
      <c r="I264" s="319" t="s">
        <v>775</v>
      </c>
      <c r="J264" s="319">
        <v>2</v>
      </c>
      <c r="K264" s="320" t="s">
        <v>757</v>
      </c>
      <c r="L264" s="351"/>
    </row>
    <row r="265" spans="1:12" ht="25.5" x14ac:dyDescent="0.2">
      <c r="A265" s="354">
        <v>262</v>
      </c>
      <c r="B265" s="355" t="s">
        <v>501</v>
      </c>
      <c r="C265" s="379">
        <v>7556508</v>
      </c>
      <c r="D265" s="356" t="s">
        <v>985</v>
      </c>
      <c r="E265" s="357">
        <v>42955</v>
      </c>
      <c r="F265" s="354" t="s">
        <v>17</v>
      </c>
      <c r="G265" s="354" t="s">
        <v>10</v>
      </c>
      <c r="H265" s="363">
        <v>4.97</v>
      </c>
      <c r="I265" s="354" t="s">
        <v>760</v>
      </c>
      <c r="J265" s="354">
        <v>2</v>
      </c>
      <c r="K265" s="358" t="s">
        <v>768</v>
      </c>
      <c r="L265" s="355" t="s">
        <v>506</v>
      </c>
    </row>
    <row r="267" spans="1:12" x14ac:dyDescent="0.2">
      <c r="A267" s="319">
        <v>1</v>
      </c>
      <c r="B267" s="384" t="s">
        <v>986</v>
      </c>
      <c r="C267" s="385" t="s">
        <v>987</v>
      </c>
      <c r="D267" s="386"/>
      <c r="E267" s="386"/>
      <c r="F267" s="386"/>
      <c r="G267" s="386"/>
      <c r="H267" s="386"/>
      <c r="I267" s="386"/>
      <c r="J267" s="386"/>
      <c r="K267" s="386"/>
    </row>
    <row r="268" spans="1:12" x14ac:dyDescent="0.2">
      <c r="A268" s="319">
        <v>2</v>
      </c>
      <c r="B268" s="387" t="s">
        <v>988</v>
      </c>
      <c r="C268" s="477" t="s">
        <v>989</v>
      </c>
      <c r="D268" s="478"/>
      <c r="E268" s="478"/>
      <c r="F268" s="478"/>
      <c r="G268" s="478"/>
      <c r="H268" s="478"/>
      <c r="I268" s="478"/>
      <c r="J268" s="478"/>
      <c r="K268" s="478"/>
      <c r="L268" s="153"/>
    </row>
    <row r="269" spans="1:12" x14ac:dyDescent="0.2">
      <c r="A269" s="319">
        <v>3</v>
      </c>
      <c r="B269" s="388" t="s">
        <v>990</v>
      </c>
      <c r="C269" s="477" t="s">
        <v>991</v>
      </c>
      <c r="D269" s="478"/>
      <c r="E269" s="478"/>
      <c r="F269" s="478"/>
      <c r="G269" s="478"/>
      <c r="H269" s="478"/>
      <c r="I269" s="478"/>
      <c r="J269" s="478"/>
      <c r="K269" s="478"/>
      <c r="L269" s="153"/>
    </row>
    <row r="270" spans="1:12" x14ac:dyDescent="0.2">
      <c r="A270" s="312"/>
      <c r="B270" s="153"/>
      <c r="C270" s="312"/>
      <c r="D270" s="389"/>
      <c r="F270" s="157"/>
      <c r="G270" s="312"/>
      <c r="H270" s="312"/>
      <c r="I270" s="311"/>
      <c r="J270" s="311"/>
      <c r="K270" s="153"/>
      <c r="L270" s="153"/>
    </row>
    <row r="271" spans="1:12" x14ac:dyDescent="0.2">
      <c r="A271" s="389" t="s">
        <v>992</v>
      </c>
      <c r="B271" s="153"/>
      <c r="C271" s="312"/>
      <c r="D271" s="389"/>
      <c r="F271" s="157"/>
      <c r="G271" s="312"/>
      <c r="H271" s="312"/>
      <c r="I271" s="311"/>
      <c r="J271" s="311"/>
      <c r="K271" s="153"/>
      <c r="L271" s="153"/>
    </row>
    <row r="272" spans="1:12" x14ac:dyDescent="0.2">
      <c r="A272" s="389"/>
      <c r="B272" s="153"/>
      <c r="C272" s="312"/>
      <c r="D272" s="389"/>
      <c r="F272" s="157"/>
      <c r="G272" s="312"/>
      <c r="H272" s="312"/>
      <c r="I272" s="311"/>
      <c r="J272" s="311"/>
      <c r="K272" s="153"/>
      <c r="L272" s="153"/>
    </row>
    <row r="273" spans="1:12" x14ac:dyDescent="0.2">
      <c r="A273" s="389"/>
      <c r="B273" s="153"/>
      <c r="C273" s="153"/>
      <c r="D273" s="312"/>
      <c r="E273" s="389"/>
      <c r="G273" s="157"/>
      <c r="H273" s="312"/>
      <c r="I273" s="312"/>
      <c r="J273" s="311"/>
      <c r="K273" s="311"/>
      <c r="L273" s="153"/>
    </row>
    <row r="274" spans="1:12" x14ac:dyDescent="0.2">
      <c r="A274" s="312"/>
      <c r="B274" s="153"/>
      <c r="C274" s="153"/>
      <c r="D274" s="312" t="s">
        <v>993</v>
      </c>
      <c r="E274" s="312"/>
      <c r="G274" s="157"/>
      <c r="H274" s="437" t="s">
        <v>96</v>
      </c>
      <c r="I274" s="437"/>
      <c r="J274" s="437"/>
      <c r="K274" s="437"/>
    </row>
    <row r="275" spans="1:12" x14ac:dyDescent="0.2">
      <c r="C275" s="438" t="s">
        <v>14</v>
      </c>
      <c r="D275" s="438"/>
      <c r="E275" s="438"/>
      <c r="F275" s="390"/>
      <c r="G275" s="176"/>
      <c r="H275" s="479" t="s">
        <v>18</v>
      </c>
      <c r="I275" s="479"/>
      <c r="J275" s="479"/>
      <c r="K275" s="479"/>
    </row>
    <row r="276" spans="1:12" x14ac:dyDescent="0.2">
      <c r="C276" s="173"/>
      <c r="D276" s="311" t="s">
        <v>65</v>
      </c>
      <c r="E276" s="311"/>
      <c r="F276" s="176"/>
      <c r="G276" s="176"/>
      <c r="H276" s="437" t="s">
        <v>20</v>
      </c>
      <c r="I276" s="437"/>
      <c r="J276" s="437"/>
      <c r="K276" s="437"/>
    </row>
    <row r="277" spans="1:12" x14ac:dyDescent="0.2">
      <c r="C277" s="173"/>
      <c r="D277" s="311" t="s">
        <v>15</v>
      </c>
      <c r="E277" s="311"/>
      <c r="F277" s="176"/>
      <c r="G277" s="176"/>
      <c r="H277" s="173"/>
      <c r="I277" s="439" t="s">
        <v>16</v>
      </c>
      <c r="J277" s="439"/>
      <c r="L277" s="153"/>
    </row>
    <row r="278" spans="1:12" x14ac:dyDescent="0.2">
      <c r="A278" s="312"/>
      <c r="B278" s="153"/>
      <c r="C278" s="312"/>
      <c r="D278" s="153"/>
      <c r="F278" s="157"/>
      <c r="G278" s="312"/>
      <c r="H278" s="312"/>
      <c r="I278" s="312"/>
      <c r="J278" s="312"/>
      <c r="K278" s="311"/>
      <c r="L278" s="153"/>
    </row>
    <row r="279" spans="1:12" x14ac:dyDescent="0.2">
      <c r="A279" s="312"/>
      <c r="B279" s="153"/>
      <c r="C279" s="312"/>
      <c r="D279" s="153"/>
      <c r="F279" s="157"/>
      <c r="G279" s="312"/>
      <c r="H279" s="312"/>
      <c r="I279" s="312"/>
      <c r="J279" s="312"/>
      <c r="K279" s="311"/>
      <c r="L279" s="153"/>
    </row>
  </sheetData>
  <mergeCells count="9">
    <mergeCell ref="H276:K276"/>
    <mergeCell ref="I277:J277"/>
    <mergeCell ref="A1:L1"/>
    <mergeCell ref="A2:L2"/>
    <mergeCell ref="C268:K268"/>
    <mergeCell ref="C269:K269"/>
    <mergeCell ref="H274:K274"/>
    <mergeCell ref="C275:E275"/>
    <mergeCell ref="H275:K275"/>
  </mergeCells>
  <pageMargins left="0.70866141732283472" right="0.70866141732283472" top="0.74803149606299213" bottom="0.74803149606299213" header="0.31496062992125984" footer="0.31496062992125984"/>
  <pageSetup paperSize="258"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20</vt:i4>
      </vt:variant>
      <vt:variant>
        <vt:lpstr>Rangos con nombre</vt:lpstr>
      </vt:variant>
      <vt:variant>
        <vt:i4>5</vt:i4>
      </vt:variant>
    </vt:vector>
  </HeadingPairs>
  <TitlesOfParts>
    <vt:vector size="25" baseType="lpstr">
      <vt:lpstr>Topes_2026</vt:lpstr>
      <vt:lpstr>Puntos aprobados_2026</vt:lpstr>
      <vt:lpstr>Titulo</vt:lpstr>
      <vt:lpstr>Ascenso_Categoria</vt:lpstr>
      <vt:lpstr>Pub_Rev_Index</vt:lpstr>
      <vt:lpstr>Libro_Ensayo</vt:lpstr>
      <vt:lpstr>Prod_Videos</vt:lpstr>
      <vt:lpstr>Libro_Res_Investigacion</vt:lpstr>
      <vt:lpstr>Libro_Texto</vt:lpstr>
      <vt:lpstr>Premios</vt:lpstr>
      <vt:lpstr>Patentes</vt:lpstr>
      <vt:lpstr>Obras_Artisticas</vt:lpstr>
      <vt:lpstr>Prod_Tecnica</vt:lpstr>
      <vt:lpstr>Prod_Software</vt:lpstr>
      <vt:lpstr>DAA</vt:lpstr>
      <vt:lpstr>DDD_Auxiliar</vt:lpstr>
      <vt:lpstr>DDD_Asistente</vt:lpstr>
      <vt:lpstr>DDD_Asociado</vt:lpstr>
      <vt:lpstr>DDD_Titular</vt:lpstr>
      <vt:lpstr>Exp_Calificada</vt:lpstr>
      <vt:lpstr>Ascenso_Categoria!Títulos_a_imprimir</vt:lpstr>
      <vt:lpstr>DAA!Títulos_a_imprimir</vt:lpstr>
      <vt:lpstr>Exp_Calificada!Títulos_a_imprimir</vt:lpstr>
      <vt:lpstr>Pub_Rev_Index!Títulos_a_imprimir</vt:lpstr>
      <vt:lpstr>Topes_2026!Títulos_a_imprimir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2006-09-12T12:46:56Z</dcterms:created>
  <dcterms:modified xsi:type="dcterms:W3CDTF">2026-03-11T19:42:38Z</dcterms:modified>
</cp:coreProperties>
</file>